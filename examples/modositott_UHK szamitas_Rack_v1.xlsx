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körz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<sst xmlns="http://schemas.openxmlformats.org/spreadsheetml/2006/main" count="47" uniqueCount="35">
  <si>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Kábel típusa</t>
  </si>
  <si>
    <t xml:space="preserve">Fesz esés
[%]</t>
  </si>
  <si>
    <t xml:space="preserve">Megnevezés</t>
  </si>
  <si>
    <t xml:space="preserve">Berendezés</t>
  </si>
  <si>
    <t xml:space="preserve">Áram
[A]</t>
  </si>
  <si>
    <t xml:space="preserve">Áram összesen
[A]</t>
  </si>
  <si>
    <t xml:space="preserve">Kábel hossza
[m]</t>
  </si>
  <si>
    <t xml:space="preserve">Megengedett fesz esés
ε [%]</t>
  </si>
  <si>
    <t xml:space="preserve">Megengedett mértékadó fesz esés fázisonként
é [V]</t>
  </si>
  <si>
    <r>
      <rPr>
        <sz val="11"/>
        <color theme="1"/>
        <rFont val="Microsoft Sans Serif"/>
        <family val="2"/>
        <charset val="1"/>
      </rPr>
      <t xml:space="preserve">Szükséges minimális keresztmetszet
[mm</t>
    </r>
    <r>
      <rPr>
        <vertAlign val="superscript"/>
        <sz val="11"/>
        <color theme="1"/>
        <rFont val="Microsoft Sans Serif"/>
        <family val="2"/>
        <charset val="1"/>
      </rPr>
      <t xml:space="preserve">2</t>
    </r>
    <r>
      <rPr>
        <sz val="11"/>
        <color theme="1"/>
        <rFont val="Microsoft Sans Serif"/>
        <family val="2"/>
        <charset val="1"/>
      </rPr>
      <t xml:space="preserve">]</t>
    </r>
  </si>
  <si>
    <r>
      <rPr>
        <sz val="11"/>
        <color theme="1"/>
        <rFont val="Microsoft Sans Serif"/>
        <family val="2"/>
        <charset val="1"/>
      </rPr>
      <t xml:space="preserve">Választott kábel keresztmetszete
[mm</t>
    </r>
    <r>
      <rPr>
        <vertAlign val="superscript"/>
        <sz val="11"/>
        <color theme="1"/>
        <rFont val="Microsoft Sans Serif"/>
        <family val="2"/>
        <charset val="1"/>
      </rPr>
      <t xml:space="preserve">2</t>
    </r>
    <r>
      <rPr>
        <sz val="11"/>
        <color theme="1"/>
        <rFont val="Microsoft Sans Serif"/>
        <family val="2"/>
        <charset val="1"/>
      </rPr>
      <t xml:space="preserve">]</t>
    </r>
  </si>
  <si>
    <t xml:space="preserve">AL fajlagos ellenállása
Ω mm² / m</t>
  </si>
  <si>
    <t xml:space="preserve">Választott kábel Fesz esés
é [V]</t>
  </si>
  <si>
    <t xml:space="preserve">Választott kábel Fesz esés
ε [%]</t>
  </si>
  <si>
    <t xml:space="preserve">Számított hurok-impedancia, (Rh):
[Ω]</t>
  </si>
  <si>
    <t xml:space="preserve">Számított zárlati áram, (Iz):
[A]</t>
  </si>
  <si>
    <t xml:space="preserve">ESZ1-5</t>
  </si>
  <si>
    <t xml:space="preserve">ESZ1-4</t>
  </si>
  <si>
    <t xml:space="preserve">ESZ1-3</t>
  </si>
  <si>
    <t xml:space="preserve">ESZ1-2</t>
  </si>
  <si>
    <t xml:space="preserve">ESZ1-1</t>
  </si>
  <si>
    <t xml:space="preserve">FE1.1</t>
  </si>
  <si>
    <t xml:space="preserve">Fesz esés</t>
  </si>
  <si>
    <t xml:space="preserve">Hurok IMP</t>
  </si>
  <si>
    <t xml:space="preserve">Iz [A]</t>
  </si>
  <si>
    <t xml:space="preserve">Bizt</t>
  </si>
  <si>
    <t xml:space="preserve">LAD,RAD</t>
  </si>
  <si>
    <t xml:space="preserve">K1-5</t>
  </si>
  <si>
    <t xml:space="preserve">VJT-P</t>
  </si>
  <si>
    <t xml:space="preserve">K1-4</t>
  </si>
  <si>
    <t xml:space="preserve">K1-3</t>
  </si>
  <si>
    <t xml:space="preserve">K1-2</t>
  </si>
  <si>
    <t xml:space="preserve">K1-1</t>
  </si>
  <si>
    <t xml:space="preserve">FE</t>
  </si>
  <si>
    <t xml:space="preserve">K-FE-1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</si>
</sst>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"/>
    <numFmt numFmtId="167" formatCode="0.000"/>
    <numFmt numFmtId="168" formatCode="0.0"/>
    <numFmt numFmtId="169" formatCode="0"/>
  </numFmts>
  <fonts count="10">
    <font>
      <sz val="12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0"/>
      <charset val="238"/>
    </font>
    <font>
      <sz val="11"/>
      <color theme="1"/>
      <name val="Microsoft Sans Serif"/>
      <family val="2"/>
      <charset val="1"/>
    </font>
    <font>
      <vertAlign val="superscript"/>
      <sz val="11"/>
      <color theme="1"/>
      <name val="Microsoft Sans Serif"/>
      <family val="2"/>
      <charset val="1"/>
    </font>
    <font>
      <sz val="11"/>
      <name val="Microsoft Sans Serif"/>
      <family val="2"/>
      <charset val="1"/>
    </font>
    <font>
      <b val="true"/>
      <sz val="12"/>
      <color theme="1"/>
      <name val="Microsoft Sans Serif"/>
      <family val="2"/>
      <charset val="238"/>
    </font>
    <font>
      <b val="true"/>
      <sz val="11"/>
      <color theme="1"/>
      <name val="Microsoft Sans Serif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7" tint="0.5999"/>
        <bgColor rgb="FFFFCC99"/>
      </patternFill>
    </fill>
    <fill>
      <patternFill patternType="solid">
        <fgColor theme="4" tint="0.7999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1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_hal_szam_uj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true" showRowColHeaders="true" showZeros="true" rightToLeft="false" tabSelected="true" showOutlineSymbols="true" defaultGridColor="true" view="normal" topLeftCell="D1" colorId="64" zoomScale="70" zoomScaleNormal="70" zoomScalePageLayoutView="100" workbookViewId="0">
      <selection pane="topLeft" activeCell="G14" activeCellId="0" sqref="G14"/>
    </sheetView>
  </sheetViews>
  <sheetFormatPr defaultColWidth="9.00390625" defaultRowHeight="14.25" customHeight="true" zeroHeight="false" outlineLevelRow="0" outlineLevelCol="0"/>
  <cols>
    <col collapsed="false" customWidth="true" hidden="true" outlineLevel="0" max="1" min="1" style="1" width="10.49"/>
    <col collapsed="false" customWidth="true" hidden="true" outlineLevel="0" max="2" min="2" style="1" width="10.88"/>
    <col collapsed="false" customWidth="true" hidden="true" outlineLevel="0" max="3" min="3" style="1" width="10"/>
    <col collapsed="false" customWidth="true" hidden="false" outlineLevel="0" max="4" min="4" style="1" width="11.38"/>
    <col collapsed="false" customWidth="true" hidden="false" outlineLevel="0" max="5" min="5" style="1" width="10.26"/>
    <col collapsed="false" customWidth="false" hidden="false" outlineLevel="0" max="7" min="6" style="2" width="9"/>
    <col collapsed="false" customWidth="false" hidden="false" outlineLevel="0" max="8" min="8" style="3" width="9"/>
    <col collapsed="false" customWidth="false" hidden="false" outlineLevel="0" max="9" min="9" style="2" width="9"/>
    <col collapsed="false" customWidth="true" hidden="false" outlineLevel="0" max="10" min="10" style="2" width="11.25"/>
    <col collapsed="false" customWidth="true" hidden="false" outlineLevel="0" max="11" min="11" style="2" width="12.5"/>
    <col collapsed="false" customWidth="true" hidden="false" outlineLevel="0" max="13" min="12" style="2" width="14.62"/>
    <col collapsed="false" customWidth="true" hidden="false" outlineLevel="0" max="14" min="14" style="2" width="12"/>
    <col collapsed="false" customWidth="false" hidden="false" outlineLevel="0" max="16" min="15" style="2" width="9"/>
    <col collapsed="false" customWidth="true" hidden="false" outlineLevel="0" max="17" min="17" style="2" width="10.5"/>
    <col collapsed="false" customWidth="true" hidden="false" outlineLevel="0" max="18" min="18" style="2" width="12.37"/>
    <col collapsed="false" customWidth="false" hidden="false" outlineLevel="0" max="19" min="19" style="2" width="9"/>
    <col collapsed="false" customWidth="true" hidden="false" outlineLevel="0" max="20" min="20" style="2" width="10"/>
    <col collapsed="false" customWidth="false" hidden="false" outlineLevel="0" max="25" min="21" style="2" width="9"/>
    <col collapsed="false" customWidth="true" hidden="false" outlineLevel="0" max="26" min="26" style="2" width="10.62"/>
    <col collapsed="false" customWidth="false" hidden="false" outlineLevel="0" max="16384" min="27" style="2" width="9"/>
  </cols>
  <sheetData>
    <row r="1" customFormat="false" ht="74.6" hidden="false" customHeight="false" outlineLevel="0" collapsed="false">
      <c r="B1" s="2" t="s">
        <v>0</v>
      </c>
      <c r="C1" s="4" t="s">
        <v>1</v>
      </c>
      <c r="D1" s="1" t="s">
        <v>2</v>
      </c>
      <c r="E1" s="1" t="s">
        <v>3</v>
      </c>
      <c r="F1" s="4" t="s">
        <v>4</v>
      </c>
      <c r="G1" s="4" t="s">
        <v>5</v>
      </c>
      <c r="H1" s="5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6" t="s">
        <v>14</v>
      </c>
      <c r="R1" s="6" t="s">
        <v>15</v>
      </c>
    </row>
    <row r="2" customFormat="false" ht="15" hidden="false" customHeight="true" outlineLevel="0" collapsed="false">
      <c r="J2" s="7"/>
      <c r="N2" s="8" t="n">
        <v>0.0286</v>
      </c>
    </row>
    <row r="3" customFormat="false" ht="24.75" hidden="false" customHeight="true" outlineLevel="0" collapsed="false">
      <c r="J3" s="7"/>
      <c r="N3" s="8"/>
      <c r="U3" s="2" t="s">
        <v>16</v>
      </c>
      <c r="V3" s="2" t="s">
        <v>17</v>
      </c>
      <c r="W3" s="2" t="s">
        <v>18</v>
      </c>
      <c r="X3" s="2" t="s">
        <v>19</v>
      </c>
      <c r="Y3" s="2" t="s">
        <v>20</v>
      </c>
      <c r="Z3" s="2" t="s">
        <v>21</v>
      </c>
    </row>
    <row r="4" customFormat="false" ht="24.75" hidden="false" customHeight="true" outlineLevel="0" collapsed="false">
      <c r="J4" s="7"/>
      <c r="T4" s="2" t="s">
        <v>22</v>
      </c>
      <c r="U4" s="9" t="n">
        <f aca="false">+O10+O14+O22+O29</f>
        <v>2.19613816371766</v>
      </c>
      <c r="V4" s="9" t="n">
        <f aca="false">+O14+O22+O29</f>
        <v>2.08002424885953</v>
      </c>
      <c r="W4" s="9" t="n">
        <f aca="false">+O17+O22+O29</f>
        <v>1.94849452755779</v>
      </c>
      <c r="X4" s="9" t="n">
        <f aca="false">+O22+O29</f>
        <v>1.39606177222595</v>
      </c>
      <c r="Y4" s="9" t="n">
        <f aca="false">+O25+O29</f>
        <v>3.63499960421896</v>
      </c>
      <c r="Z4" s="10" t="n">
        <f aca="false">+O29</f>
        <v>0.0844104568763847</v>
      </c>
    </row>
    <row r="5" customFormat="false" ht="24.75" hidden="false" customHeight="true" outlineLevel="0" collapsed="false">
      <c r="J5" s="7"/>
      <c r="T5" s="2" t="s">
        <v>23</v>
      </c>
      <c r="U5" s="11" t="n">
        <f aca="false">+Q10+Q14+Q22+Q29</f>
        <v>0.4980976</v>
      </c>
      <c r="V5" s="11" t="n">
        <f aca="false">+Q14+Q22+Q29</f>
        <v>0.1629056</v>
      </c>
      <c r="W5" s="11" t="n">
        <f aca="false">+Q17+Q22+Q29</f>
        <v>0.4220216</v>
      </c>
      <c r="X5" s="11" t="n">
        <f aca="false">+Q22+Q29</f>
        <v>0.1030744</v>
      </c>
      <c r="Y5" s="11" t="n">
        <f aca="false">+Q25+Q29</f>
        <v>0.314028</v>
      </c>
      <c r="Z5" s="12" t="n">
        <f aca="false">+Q29</f>
        <v>0.003432</v>
      </c>
    </row>
    <row r="6" customFormat="false" ht="24.75" hidden="false" customHeight="true" outlineLevel="0" collapsed="false">
      <c r="J6" s="7"/>
      <c r="T6" s="2" t="s">
        <v>24</v>
      </c>
      <c r="U6" s="13" t="n">
        <f aca="false">230/U5</f>
        <v>461.75689262506</v>
      </c>
      <c r="V6" s="13" t="n">
        <f aca="false">230/V5</f>
        <v>1411.86061129881</v>
      </c>
      <c r="W6" s="13" t="n">
        <f aca="false">230/W5</f>
        <v>544.995801162784</v>
      </c>
      <c r="X6" s="13" t="n">
        <f aca="false">230/X5</f>
        <v>2231.39790287404</v>
      </c>
      <c r="Y6" s="13" t="n">
        <f aca="false">230/Y5</f>
        <v>732.418765205651</v>
      </c>
      <c r="Z6" s="13" t="n">
        <f aca="false">230/Z5</f>
        <v>67016.317016317</v>
      </c>
    </row>
    <row r="7" customFormat="false" ht="24.75" hidden="false" customHeight="true" outlineLevel="0" collapsed="false">
      <c r="J7" s="7"/>
      <c r="T7" s="2" t="s">
        <v>25</v>
      </c>
      <c r="U7" s="13" t="n">
        <f aca="false">+U6/8</f>
        <v>57.7196115781325</v>
      </c>
      <c r="V7" s="13" t="n">
        <f aca="false">+V6/8</f>
        <v>176.482576412352</v>
      </c>
      <c r="W7" s="13" t="n">
        <f aca="false">+W6/8</f>
        <v>68.124475145348</v>
      </c>
      <c r="X7" s="13" t="n">
        <f aca="false">+X6/8</f>
        <v>278.924737859255</v>
      </c>
      <c r="Y7" s="13" t="n">
        <f aca="false">+Y6/8</f>
        <v>91.5523456507063</v>
      </c>
      <c r="Z7" s="13" t="n">
        <f aca="false">+Z6/8</f>
        <v>8377.03962703963</v>
      </c>
    </row>
    <row r="8" customFormat="false" ht="24.75" hidden="false" customHeight="true" outlineLevel="0" collapsed="false">
      <c r="D8" s="14" t="s">
        <v>16</v>
      </c>
      <c r="E8" s="15" t="s">
        <v>26</v>
      </c>
      <c r="F8" s="16" t="n">
        <v>1</v>
      </c>
      <c r="G8" s="16"/>
      <c r="H8" s="17"/>
      <c r="J8" s="7"/>
    </row>
    <row r="9" customFormat="false" ht="24.75" hidden="false" customHeight="true" outlineLevel="0" collapsed="false">
      <c r="E9" s="18"/>
      <c r="F9" s="19"/>
      <c r="G9" s="19" t="n">
        <v>1</v>
      </c>
      <c r="H9" s="20" t="n">
        <f aca="false">SUM(G8:G9)</f>
        <v>1</v>
      </c>
      <c r="J9" s="7"/>
    </row>
    <row r="10" customFormat="false" ht="24.75" hidden="false" customHeight="true" outlineLevel="0" collapsed="false">
      <c r="D10" s="14" t="s">
        <v>27</v>
      </c>
      <c r="E10" s="14"/>
      <c r="F10" s="21"/>
      <c r="G10" s="21" t="n">
        <f aca="false">+G9*(1.2)/3</f>
        <v>0.4</v>
      </c>
      <c r="H10" s="22" t="n">
        <f aca="false">+H9</f>
        <v>1</v>
      </c>
      <c r="I10" s="21" t="n">
        <v>293</v>
      </c>
      <c r="J10" s="23" t="n">
        <v>0.04</v>
      </c>
      <c r="K10" s="24" t="n">
        <f aca="false">0.75*400*J10/SQRT(3)</f>
        <v>6.92820323027551</v>
      </c>
      <c r="L10" s="24" t="n">
        <f aca="false">+$N$2*I10*G10/K10</f>
        <v>0.483807978575523</v>
      </c>
      <c r="M10" s="25" t="n">
        <v>50</v>
      </c>
      <c r="N10" s="21"/>
      <c r="O10" s="26" t="n">
        <f aca="false">+$N$2/M10*G10*I10*SQRT(3)</f>
        <v>0.116113914858125</v>
      </c>
      <c r="P10" s="27" t="n">
        <f aca="false">+O10*100/400</f>
        <v>0.0290284787145314</v>
      </c>
      <c r="Q10" s="28" t="n">
        <f aca="false">+$N$2*I10/M10*2</f>
        <v>0.335192</v>
      </c>
      <c r="R10" s="26" t="n">
        <f aca="false">230/Q10</f>
        <v>686.173894365021</v>
      </c>
    </row>
    <row r="11" customFormat="false" ht="24.75" hidden="false" customHeight="true" outlineLevel="0" collapsed="false">
      <c r="D11" s="15" t="s">
        <v>17</v>
      </c>
      <c r="E11" s="15" t="s">
        <v>26</v>
      </c>
      <c r="F11" s="16" t="n">
        <v>1</v>
      </c>
      <c r="G11" s="16"/>
      <c r="H11" s="17"/>
      <c r="J11" s="7"/>
    </row>
    <row r="12" customFormat="false" ht="24.75" hidden="false" customHeight="true" outlineLevel="0" collapsed="false">
      <c r="E12" s="1" t="s">
        <v>28</v>
      </c>
      <c r="F12" s="2" t="n">
        <v>32</v>
      </c>
      <c r="J12" s="7"/>
    </row>
    <row r="13" customFormat="false" ht="24.75" hidden="false" customHeight="true" outlineLevel="0" collapsed="false">
      <c r="G13" s="19" t="n">
        <f aca="false">SUM(F11:F13)</f>
        <v>33</v>
      </c>
      <c r="H13" s="20" t="n">
        <f aca="false">SUM(G11:G13)</f>
        <v>33</v>
      </c>
      <c r="J13" s="7"/>
    </row>
    <row r="14" customFormat="false" ht="24.75" hidden="false" customHeight="true" outlineLevel="0" collapsed="false">
      <c r="D14" s="14" t="s">
        <v>29</v>
      </c>
      <c r="E14" s="14"/>
      <c r="F14" s="21"/>
      <c r="G14" s="21" t="n">
        <f aca="false">+G13*(1.2)/3</f>
        <v>13.2</v>
      </c>
      <c r="H14" s="22" t="n">
        <f aca="false">+H13</f>
        <v>33</v>
      </c>
      <c r="I14" s="21" t="n">
        <v>52.3</v>
      </c>
      <c r="J14" s="23" t="n">
        <v>0.04</v>
      </c>
      <c r="K14" s="24" t="n">
        <f aca="false">0.75*400*J14/SQRT(3)</f>
        <v>6.92820323027551</v>
      </c>
      <c r="L14" s="24" t="n">
        <f aca="false">+$N$2*I14*G14/K14</f>
        <v>2.84984365263991</v>
      </c>
      <c r="M14" s="25" t="n">
        <v>50</v>
      </c>
      <c r="N14" s="21"/>
      <c r="O14" s="26" t="n">
        <f aca="false">+$N$2/M14*G14*I14*SQRT(3)</f>
        <v>0.683962476633579</v>
      </c>
      <c r="P14" s="27" t="n">
        <f aca="false">+O14*100/400</f>
        <v>0.170990619158395</v>
      </c>
      <c r="Q14" s="28" t="n">
        <f aca="false">+$N$2*I14/M14*2</f>
        <v>0.0598312</v>
      </c>
      <c r="R14" s="26" t="n">
        <f aca="false">230/Q14</f>
        <v>3844.14820361283</v>
      </c>
    </row>
    <row r="15" customFormat="false" ht="24.75" hidden="false" customHeight="true" outlineLevel="0" collapsed="false">
      <c r="D15" s="14" t="s">
        <v>18</v>
      </c>
      <c r="E15" s="15"/>
      <c r="F15" s="16" t="n">
        <v>5</v>
      </c>
      <c r="G15" s="16"/>
      <c r="H15" s="17"/>
      <c r="J15" s="7"/>
    </row>
    <row r="16" customFormat="false" ht="24.75" hidden="false" customHeight="true" outlineLevel="0" collapsed="false">
      <c r="E16" s="18"/>
      <c r="F16" s="19"/>
      <c r="G16" s="19" t="n">
        <f aca="false">SUM(F15:F16)</f>
        <v>5</v>
      </c>
      <c r="H16" s="20" t="n">
        <f aca="false">SUM(G15:G16)</f>
        <v>5</v>
      </c>
      <c r="J16" s="7"/>
    </row>
    <row r="17" s="36" customFormat="true" ht="24.75" hidden="false" customHeight="true" outlineLevel="0" collapsed="false">
      <c r="A17" s="29"/>
      <c r="B17" s="29"/>
      <c r="C17" s="29"/>
      <c r="D17" s="30" t="s">
        <v>30</v>
      </c>
      <c r="E17" s="30"/>
      <c r="F17" s="31"/>
      <c r="G17" s="31" t="n">
        <f aca="false">+G16*(1.2)/3</f>
        <v>2</v>
      </c>
      <c r="H17" s="31" t="n">
        <f aca="false">+H16</f>
        <v>5</v>
      </c>
      <c r="I17" s="31" t="n">
        <v>278.8</v>
      </c>
      <c r="J17" s="23" t="n">
        <v>0.04</v>
      </c>
      <c r="K17" s="32" t="n">
        <f aca="false">0.75*400*J17/SQRT(3)</f>
        <v>6.92820323027551</v>
      </c>
      <c r="L17" s="32" t="n">
        <f aca="false">+$N$2*I17*G17/K17</f>
        <v>2.30180314721597</v>
      </c>
      <c r="M17" s="33" t="n">
        <v>50</v>
      </c>
      <c r="N17" s="31"/>
      <c r="O17" s="32" t="n">
        <f aca="false">+$N$2/M17*G17*I17*SQRT(3)</f>
        <v>0.552432755331832</v>
      </c>
      <c r="P17" s="34" t="n">
        <f aca="false">+O17*100/400</f>
        <v>0.138108188832958</v>
      </c>
      <c r="Q17" s="35" t="n">
        <f aca="false">+$N$2*I17/M17*2</f>
        <v>0.3189472</v>
      </c>
      <c r="R17" s="32" t="n">
        <f aca="false">230/Q17</f>
        <v>721.122493001976</v>
      </c>
    </row>
    <row r="18" customFormat="false" ht="24.75" hidden="false" customHeight="true" outlineLevel="0" collapsed="false">
      <c r="D18" s="15" t="s">
        <v>19</v>
      </c>
      <c r="E18" s="15" t="s">
        <v>26</v>
      </c>
      <c r="F18" s="16" t="n">
        <v>1</v>
      </c>
      <c r="G18" s="16"/>
      <c r="H18" s="17"/>
      <c r="J18" s="7"/>
    </row>
    <row r="19" customFormat="false" ht="24.75" hidden="false" customHeight="true" outlineLevel="0" collapsed="false">
      <c r="D19" s="37"/>
      <c r="E19" s="37" t="s">
        <v>28</v>
      </c>
      <c r="F19" s="38" t="n">
        <v>32</v>
      </c>
      <c r="G19" s="38"/>
      <c r="H19" s="39"/>
      <c r="J19" s="7"/>
    </row>
    <row r="20" customFormat="false" ht="24.75" hidden="false" customHeight="true" outlineLevel="0" collapsed="false">
      <c r="F20" s="2" t="n">
        <v>5</v>
      </c>
      <c r="J20" s="7"/>
    </row>
    <row r="21" customFormat="false" ht="24.75" hidden="false" customHeight="true" outlineLevel="0" collapsed="false">
      <c r="G21" s="19" t="n">
        <f aca="false">SUM(F18:F21)</f>
        <v>38</v>
      </c>
      <c r="H21" s="20" t="n">
        <f aca="false">SUM(G18:G21)</f>
        <v>38</v>
      </c>
      <c r="J21" s="7"/>
    </row>
    <row r="22" customFormat="false" ht="24.75" hidden="false" customHeight="true" outlineLevel="0" collapsed="false">
      <c r="D22" s="14" t="s">
        <v>31</v>
      </c>
      <c r="E22" s="14"/>
      <c r="F22" s="21"/>
      <c r="G22" s="21" t="n">
        <f aca="false">+G21*(1.2)/3</f>
        <v>15.2</v>
      </c>
      <c r="H22" s="22" t="n">
        <f aca="false">+H21</f>
        <v>38</v>
      </c>
      <c r="I22" s="21" t="n">
        <v>87.1</v>
      </c>
      <c r="J22" s="23" t="n">
        <v>0.04</v>
      </c>
      <c r="K22" s="24" t="n">
        <f aca="false">0.75*400*J22/SQRT(3)</f>
        <v>6.92820323027551</v>
      </c>
      <c r="L22" s="24" t="n">
        <f aca="false">+$N$2*I22*G22/K22</f>
        <v>5.46521381395654</v>
      </c>
      <c r="M22" s="25" t="n">
        <v>50</v>
      </c>
      <c r="N22" s="21"/>
      <c r="O22" s="26" t="n">
        <f aca="false">+$N$2/M22*G22*I22*SQRT(3)</f>
        <v>1.31165131534957</v>
      </c>
      <c r="P22" s="27" t="n">
        <f aca="false">+O22*100/400</f>
        <v>0.327912828837392</v>
      </c>
      <c r="Q22" s="28" t="n">
        <f aca="false">+$N$2*I22/M22*2</f>
        <v>0.0996424</v>
      </c>
      <c r="R22" s="26" t="n">
        <f aca="false">230/Q22</f>
        <v>2308.25431743916</v>
      </c>
    </row>
    <row r="23" customFormat="false" ht="24.75" hidden="false" customHeight="true" outlineLevel="0" collapsed="false">
      <c r="D23" s="14" t="s">
        <v>20</v>
      </c>
      <c r="E23" s="15" t="s">
        <v>28</v>
      </c>
      <c r="F23" s="16" t="n">
        <v>33</v>
      </c>
      <c r="G23" s="16"/>
      <c r="H23" s="17"/>
      <c r="J23" s="7"/>
    </row>
    <row r="24" customFormat="false" ht="24.75" hidden="false" customHeight="true" outlineLevel="0" collapsed="false">
      <c r="E24" s="18"/>
      <c r="F24" s="19"/>
      <c r="G24" s="19" t="n">
        <f aca="false">SUM(F23:F24)</f>
        <v>33</v>
      </c>
      <c r="H24" s="20" t="n">
        <f aca="false">SUM(G23:G24)</f>
        <v>33</v>
      </c>
      <c r="J24" s="7"/>
    </row>
    <row r="25" s="29" customFormat="true" ht="24.75" hidden="false" customHeight="true" outlineLevel="0" collapsed="false">
      <c r="D25" s="30" t="s">
        <v>32</v>
      </c>
      <c r="E25" s="30"/>
      <c r="F25" s="30"/>
      <c r="G25" s="30" t="n">
        <f aca="false">+G24*(1.2)/3</f>
        <v>13.2</v>
      </c>
      <c r="H25" s="30" t="n">
        <f aca="false">+H24</f>
        <v>33</v>
      </c>
      <c r="I25" s="30" t="n">
        <v>271.5</v>
      </c>
      <c r="J25" s="40" t="n">
        <v>0.04</v>
      </c>
      <c r="K25" s="41" t="n">
        <f aca="false">0.75*400*J25/SQRT(3)</f>
        <v>6.92820323027551</v>
      </c>
      <c r="L25" s="41" t="n">
        <f aca="false">+$N$2*I25*G25/K25</f>
        <v>14.7941214472607</v>
      </c>
      <c r="M25" s="42" t="n">
        <v>50</v>
      </c>
      <c r="N25" s="30"/>
      <c r="O25" s="41" t="n">
        <f aca="false">+$N$2/M25*G25*I25*SQRT(3)</f>
        <v>3.55058914734258</v>
      </c>
      <c r="P25" s="43" t="n">
        <f aca="false">+O25*100/400</f>
        <v>0.887647286835644</v>
      </c>
      <c r="Q25" s="44" t="n">
        <f aca="false">+$N$2*I25/M25*2</f>
        <v>0.310596</v>
      </c>
      <c r="R25" s="41" t="n">
        <f aca="false">230/Q25</f>
        <v>740.511790235547</v>
      </c>
    </row>
    <row r="26" customFormat="false" ht="24.75" hidden="false" customHeight="true" outlineLevel="0" collapsed="false">
      <c r="D26" s="14" t="s">
        <v>33</v>
      </c>
      <c r="E26" s="15" t="s">
        <v>32</v>
      </c>
      <c r="F26" s="16" t="n">
        <f aca="false">+G25</f>
        <v>13.2</v>
      </c>
      <c r="G26" s="16"/>
      <c r="H26" s="17"/>
      <c r="J26" s="7"/>
    </row>
    <row r="27" customFormat="false" ht="24.75" hidden="false" customHeight="true" outlineLevel="0" collapsed="false">
      <c r="E27" s="1" t="s">
        <v>31</v>
      </c>
      <c r="F27" s="2" t="n">
        <f aca="false">+G22</f>
        <v>15.2</v>
      </c>
      <c r="J27" s="7"/>
    </row>
    <row r="28" customFormat="false" ht="24.75" hidden="false" customHeight="true" outlineLevel="0" collapsed="false">
      <c r="E28" s="18"/>
      <c r="F28" s="19"/>
      <c r="G28" s="19" t="n">
        <f aca="false">SUM(F26:F28)</f>
        <v>28.4</v>
      </c>
      <c r="H28" s="20" t="n">
        <f aca="false">+H25+H22</f>
        <v>71</v>
      </c>
      <c r="J28" s="7"/>
    </row>
    <row r="29" customFormat="false" ht="24.75" hidden="false" customHeight="true" outlineLevel="0" collapsed="false">
      <c r="D29" s="14" t="s">
        <v>34</v>
      </c>
      <c r="E29" s="14"/>
      <c r="F29" s="21"/>
      <c r="G29" s="21" t="n">
        <f aca="false">+G28</f>
        <v>28.4</v>
      </c>
      <c r="H29" s="22" t="n">
        <f aca="false">+H28</f>
        <v>71</v>
      </c>
      <c r="I29" s="21" t="n">
        <v>3</v>
      </c>
      <c r="J29" s="23" t="n">
        <v>0.04</v>
      </c>
      <c r="K29" s="24" t="n">
        <f aca="false">0.75*400*J29/SQRT(3)</f>
        <v>6.92820323027551</v>
      </c>
      <c r="L29" s="24" t="n">
        <f aca="false">+$N$2*I29*G29/K29</f>
        <v>0.351710236984936</v>
      </c>
      <c r="M29" s="25" t="n">
        <v>50</v>
      </c>
      <c r="N29" s="21"/>
      <c r="O29" s="26" t="n">
        <f aca="false">+$N$2/M29*G29*I29*SQRT(3)</f>
        <v>0.0844104568763847</v>
      </c>
      <c r="P29" s="27" t="n">
        <f aca="false">+O29*100/400</f>
        <v>0.0211026142190962</v>
      </c>
      <c r="Q29" s="28" t="n">
        <f aca="false">+$N$2*I29/M29*2</f>
        <v>0.003432</v>
      </c>
      <c r="R29" s="26" t="n">
        <f aca="false">230/Q29</f>
        <v>67016.317016317</v>
      </c>
    </row>
    <row r="30" customFormat="false" ht="24.75" hidden="false" customHeight="true" outlineLevel="0" collapsed="false">
      <c r="J30" s="7"/>
    </row>
    <row r="31" customFormat="false" ht="24.75" hidden="false" customHeight="true" outlineLevel="0" collapsed="false">
      <c r="J31" s="7"/>
    </row>
    <row r="32" customFormat="false" ht="24.75" hidden="false" customHeight="true" outlineLevel="0" collapsed="false">
      <c r="J32" s="7"/>
      <c r="K32" s="45"/>
      <c r="L32" s="45"/>
      <c r="M32" s="46"/>
      <c r="O32" s="45"/>
      <c r="P32" s="47"/>
      <c r="Q32" s="48"/>
      <c r="R32" s="45"/>
    </row>
    <row r="33" customFormat="false" ht="24.75" hidden="false" customHeight="true" outlineLevel="0" collapsed="false">
      <c r="J33" s="7"/>
    </row>
    <row r="34" customFormat="false" ht="24.75" hidden="false" customHeight="true" outlineLevel="0" collapsed="false">
      <c r="J34" s="7"/>
    </row>
    <row r="35" customFormat="false" ht="24.75" hidden="false" customHeight="true" outlineLevel="0" collapsed="false">
      <c r="J35" s="7"/>
      <c r="K35" s="45"/>
      <c r="L35" s="45"/>
      <c r="M35" s="46"/>
      <c r="O35" s="45"/>
      <c r="P35" s="47"/>
      <c r="Q35" s="48"/>
      <c r="R35" s="45"/>
    </row>
    <row r="36" customFormat="false" ht="24.75" hidden="false" customHeight="true" outlineLevel="0" collapsed="false">
      <c r="F36" s="47"/>
      <c r="J36" s="7"/>
    </row>
    <row r="37" customFormat="false" ht="24.75" hidden="false" customHeight="true" outlineLevel="0" collapsed="false">
      <c r="F37" s="47"/>
      <c r="J37" s="7"/>
    </row>
    <row r="38" customFormat="false" ht="24.75" hidden="false" customHeight="true" outlineLevel="0" collapsed="false">
      <c r="G38" s="45"/>
      <c r="H38" s="49"/>
      <c r="J38" s="7"/>
    </row>
    <row r="39" customFormat="false" ht="24.75" hidden="false" customHeight="true" outlineLevel="0" collapsed="false">
      <c r="G39" s="45"/>
      <c r="H39" s="49"/>
      <c r="J39" s="7"/>
      <c r="K39" s="45"/>
      <c r="L39" s="45"/>
      <c r="M39" s="46"/>
      <c r="O39" s="45"/>
      <c r="P39" s="47"/>
      <c r="Q39" s="48"/>
      <c r="R39" s="45"/>
    </row>
    <row r="40" customFormat="false" ht="24.75" hidden="false" customHeight="true" outlineLevel="0" collapsed="false">
      <c r="G40" s="45"/>
      <c r="H40" s="49"/>
      <c r="J40" s="7"/>
    </row>
    <row r="41" customFormat="false" ht="24.75" hidden="false" customHeight="true" outlineLevel="0" collapsed="false">
      <c r="J41" s="7"/>
    </row>
    <row r="42" customFormat="false" ht="24.75" hidden="false" customHeight="true" outlineLevel="0" collapsed="false">
      <c r="G42" s="45"/>
      <c r="H42" s="49"/>
      <c r="J42" s="7"/>
      <c r="K42" s="45"/>
      <c r="L42" s="45"/>
      <c r="M42" s="46"/>
      <c r="O42" s="45"/>
      <c r="P42" s="47"/>
      <c r="Q42" s="48"/>
      <c r="R42" s="45"/>
    </row>
    <row r="43" customFormat="false" ht="24.75" hidden="false" customHeight="true" outlineLevel="0" collapsed="false"/>
    <row r="44" customFormat="false" ht="24.75" hidden="false" customHeight="true" outlineLevel="0" collapsed="false"/>
    <row r="45" customFormat="false" ht="24.75" hidden="false" customHeight="true" outlineLevel="0" collapsed="false">
      <c r="K45" s="47"/>
    </row>
    <row r="46" customFormat="false" ht="24.75" hidden="false" customHeight="true" outlineLevel="0" collapsed="false">
      <c r="K46" s="47"/>
    </row>
    <row r="47" customFormat="false" ht="24.75" hidden="false" customHeight="true" outlineLevel="0" collapsed="false">
      <c r="K47" s="47"/>
    </row>
    <row r="48" customFormat="false" ht="14.25" hidden="false" customHeight="false" outlineLevel="0" collapsed="false">
      <c r="K48" s="47"/>
    </row>
    <row r="49" customFormat="false" ht="14.25" hidden="false" customHeight="false" outlineLevel="0" collapsed="false">
      <c r="K49" s="47"/>
    </row>
    <row r="50" customFormat="false" ht="14.25" hidden="false" customHeight="false" outlineLevel="0" collapsed="false">
      <c r="K50" s="47"/>
    </row>
    <row r="51" customFormat="false" ht="14.25" hidden="false" customHeight="false" outlineLevel="0" collapsed="false">
      <c r="K51" s="47"/>
    </row>
    <row r="52" customFormat="false" ht="14.25" hidden="false" customHeight="false" outlineLevel="0" collapsed="false">
      <c r="K52" s="47"/>
    </row>
    <row r="53" customFormat="false" ht="14.25" hidden="false" customHeight="false" outlineLevel="0" collapsed="false">
      <c r="K53" s="47"/>
    </row>
    <row r="54" customFormat="false" ht="14.25" hidden="false" customHeight="false" outlineLevel="0" collapsed="false">
      <c r="K54" s="47"/>
    </row>
    <row r="55" customFormat="false" ht="14.25" hidden="false" customHeight="false" outlineLevel="0" collapsed="false">
      <c r="K55" s="47"/>
    </row>
    <row r="56" customFormat="false" ht="14.25" hidden="false" customHeight="false" outlineLevel="0" collapsed="false">
      <c r="K56" s="47"/>
    </row>
    <row r="57" customFormat="false" ht="14.25" hidden="false" customHeight="false" outlineLevel="0" collapsed="false">
      <c r="K57" s="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2026-04-27T07:55:22Z</dcterms:created>
  <dc:creator>Béla Nagy</dc:creator>
  <dc:description/>
  <dc:language>en-US</dc:language>
  <cp:lastModifiedBy/>
  <dcterms:modified xsi:type="dcterms:W3CDTF">2026-08-07T13:31:35Z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