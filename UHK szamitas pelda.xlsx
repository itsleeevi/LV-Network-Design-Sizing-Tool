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ELINOR\Elinor saját cuccok\Programok\"/>
    </mc:Choice>
  </mc:AlternateContent>
  <xr:revisionPtr revIDLastSave="0" documentId="13_ncr:1_{4BD5672D-C1AF-4AD1-B0C6-709406FB7221}" xr6:coauthVersionLast="47" xr6:coauthVersionMax="47" xr10:uidLastSave="{00000000-0000-0000-0000-000000000000}"/>
  <bookViews>
    <workbookView xWindow="-120" yWindow="-120" windowWidth="38640" windowHeight="21120" tabRatio="694" activeTab="2" xr2:uid="{00000000-000D-0000-FFFF-FFFF00000000}"/>
  </bookViews>
  <sheets>
    <sheet name="1F" sheetId="1" r:id="rId1"/>
    <sheet name="3F" sheetId="2" r:id="rId2"/>
    <sheet name="1. körz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3" l="1"/>
  <c r="P42" i="3"/>
  <c r="AA5" i="3" s="1"/>
  <c r="AA6" i="3" s="1"/>
  <c r="J42" i="3"/>
  <c r="P39" i="3"/>
  <c r="Q39" i="3" s="1"/>
  <c r="J39" i="3"/>
  <c r="G38" i="3"/>
  <c r="G39" i="3" s="1"/>
  <c r="N39" i="3" s="1"/>
  <c r="O39" i="3" s="1"/>
  <c r="P32" i="3"/>
  <c r="Q32" i="3" s="1"/>
  <c r="J32" i="3"/>
  <c r="G31" i="3"/>
  <c r="G32" i="3" s="1"/>
  <c r="X5" i="3" l="1"/>
  <c r="X6" i="3" s="1"/>
  <c r="W5" i="3"/>
  <c r="W6" i="3" s="1"/>
  <c r="Y5" i="3"/>
  <c r="Y6" i="3" s="1"/>
  <c r="AB5" i="3"/>
  <c r="AB6" i="3" s="1"/>
  <c r="V5" i="3"/>
  <c r="V6" i="3" s="1"/>
  <c r="Z5" i="3"/>
  <c r="Z6" i="3" s="1"/>
  <c r="Q42" i="3"/>
  <c r="AC5" i="3"/>
  <c r="AC6" i="3" s="1"/>
  <c r="K39" i="3"/>
  <c r="N32" i="3"/>
  <c r="K32" i="3"/>
  <c r="P29" i="3"/>
  <c r="Q29" i="3" s="1"/>
  <c r="J29" i="3"/>
  <c r="G28" i="3"/>
  <c r="G29" i="3" s="1"/>
  <c r="P22" i="3"/>
  <c r="Q22" i="3" s="1"/>
  <c r="J22" i="3"/>
  <c r="G21" i="3"/>
  <c r="G22" i="3" s="1"/>
  <c r="N22" i="3" s="1"/>
  <c r="P17" i="3"/>
  <c r="Q17" i="3" s="1"/>
  <c r="J17" i="3"/>
  <c r="G16" i="3"/>
  <c r="G17" i="3" s="1"/>
  <c r="G12" i="3"/>
  <c r="O22" i="3" l="1"/>
  <c r="O32" i="3"/>
  <c r="G40" i="3"/>
  <c r="G42" i="3" s="1"/>
  <c r="N29" i="3"/>
  <c r="K29" i="3"/>
  <c r="K22" i="3"/>
  <c r="K17" i="3"/>
  <c r="N17" i="3"/>
  <c r="P10" i="3"/>
  <c r="O17" i="3" l="1"/>
  <c r="O29" i="3"/>
  <c r="P13" i="3"/>
  <c r="Q13" i="3" s="1"/>
  <c r="J13" i="3"/>
  <c r="Q10" i="3"/>
  <c r="J10" i="3"/>
  <c r="G9" i="3"/>
  <c r="G10" i="3" s="1"/>
  <c r="P9" i="2"/>
  <c r="Q9" i="2" s="1"/>
  <c r="J9" i="2"/>
  <c r="P6" i="2"/>
  <c r="N10" i="3" l="1"/>
  <c r="K10" i="3"/>
  <c r="G13" i="3"/>
  <c r="G5" i="2"/>
  <c r="G6" i="2" s="1"/>
  <c r="Q6" i="2"/>
  <c r="J6" i="2"/>
  <c r="G17" i="2"/>
  <c r="F14" i="2" s="1"/>
  <c r="G14" i="2" s="1"/>
  <c r="G15" i="2" s="1"/>
  <c r="K7" i="1"/>
  <c r="H7" i="1"/>
  <c r="G8" i="1" s="1"/>
  <c r="H10" i="1" s="1"/>
  <c r="O10" i="3" l="1"/>
  <c r="N42" i="3"/>
  <c r="AC4" i="3" s="1"/>
  <c r="K42" i="3"/>
  <c r="N13" i="3"/>
  <c r="K13" i="3"/>
  <c r="N6" i="2"/>
  <c r="O6" i="2" s="1"/>
  <c r="K6" i="2"/>
  <c r="F7" i="2"/>
  <c r="G8" i="2" s="1"/>
  <c r="G9" i="2" s="1"/>
  <c r="O7" i="1"/>
  <c r="P7" i="1" s="1"/>
  <c r="L7" i="1"/>
  <c r="O13" i="3" l="1"/>
  <c r="W4" i="3"/>
  <c r="O42" i="3"/>
  <c r="AB4" i="3"/>
  <c r="AA4" i="3"/>
  <c r="X4" i="3"/>
  <c r="Z4" i="3"/>
  <c r="Y4" i="3"/>
  <c r="V4" i="3"/>
  <c r="N9" i="2"/>
  <c r="O9" i="2" s="1"/>
  <c r="K9" i="2"/>
  <c r="H18" i="1"/>
  <c r="G15" i="1" s="1"/>
  <c r="H15" i="1" s="1"/>
</calcChain>
</file>

<file path=xl/sharedStrings.xml><?xml version="1.0" encoding="utf-8"?>
<sst xmlns="http://schemas.openxmlformats.org/spreadsheetml/2006/main" count="133" uniqueCount="60">
  <si>
    <t>Berendezés</t>
  </si>
  <si>
    <t>FM</t>
  </si>
  <si>
    <t>K1</t>
  </si>
  <si>
    <t>FE</t>
  </si>
  <si>
    <t>ESZ4</t>
  </si>
  <si>
    <t>Véda</t>
  </si>
  <si>
    <t>Lidar</t>
  </si>
  <si>
    <t>K4</t>
  </si>
  <si>
    <t>ESZ3</t>
  </si>
  <si>
    <t>TXT</t>
  </si>
  <si>
    <t>K3</t>
  </si>
  <si>
    <t>ESZ1</t>
  </si>
  <si>
    <t>kamera</t>
  </si>
  <si>
    <t>FSZ</t>
  </si>
  <si>
    <t>ESZ2</t>
  </si>
  <si>
    <t>K2</t>
  </si>
  <si>
    <t>Kábel típusa</t>
  </si>
  <si>
    <t>K (kábel</t>
  </si>
  <si>
    <t>Áram
[A]</t>
  </si>
  <si>
    <t>Áram összesen
[A]</t>
  </si>
  <si>
    <t>AL fajlagos ellenállása
Ω mm² / m</t>
  </si>
  <si>
    <t>Kábel hossza
[m]</t>
  </si>
  <si>
    <t>Megengedett fesz esés
ε [%]</t>
  </si>
  <si>
    <t>Fesz esés összesen
[%]</t>
  </si>
  <si>
    <t>Megnevezés</t>
  </si>
  <si>
    <r>
      <t>Szükséges minimális keresztmetszet
[mm</t>
    </r>
    <r>
      <rPr>
        <vertAlign val="superscript"/>
        <sz val="11"/>
        <color theme="1"/>
        <rFont val="Microsoft Sans Serif"/>
        <family val="2"/>
      </rPr>
      <t>2</t>
    </r>
    <r>
      <rPr>
        <sz val="11"/>
        <color theme="1"/>
        <rFont val="Microsoft Sans Serif"/>
        <family val="2"/>
      </rPr>
      <t>]</t>
    </r>
  </si>
  <si>
    <r>
      <t>Választott kábel keresztmetszete
[mm</t>
    </r>
    <r>
      <rPr>
        <vertAlign val="superscript"/>
        <sz val="11"/>
        <color theme="1"/>
        <rFont val="Microsoft Sans Serif"/>
        <family val="2"/>
      </rPr>
      <t>2</t>
    </r>
    <r>
      <rPr>
        <sz val="11"/>
        <color theme="1"/>
        <rFont val="Microsoft Sans Serif"/>
        <family val="2"/>
      </rPr>
      <t>]</t>
    </r>
  </si>
  <si>
    <t>Megengedett mértékadó fesz esés
é [V]</t>
  </si>
  <si>
    <t>Választott kábel Fesz esés
é [V]</t>
  </si>
  <si>
    <t>Választott kábel Fesz esés
ε [%]</t>
  </si>
  <si>
    <t>Megengedett mértékadó fesz esés fázisonként
é [V]</t>
  </si>
  <si>
    <t>Számított zárlati áram, (Iz):
[A]</t>
  </si>
  <si>
    <t>Számított hurok-impedancia, (Rh):
[Ω]</t>
  </si>
  <si>
    <t>Fesz esés
[%]</t>
  </si>
  <si>
    <t>AID-4</t>
  </si>
  <si>
    <t>K1-7</t>
  </si>
  <si>
    <t>ESZ1-6</t>
  </si>
  <si>
    <t>ESZ1-7</t>
  </si>
  <si>
    <t>K1-6</t>
  </si>
  <si>
    <t>ESZ1-5</t>
  </si>
  <si>
    <t>K1-5</t>
  </si>
  <si>
    <t>ESZ1-4</t>
  </si>
  <si>
    <t>K1-4</t>
  </si>
  <si>
    <t>VJT-O</t>
  </si>
  <si>
    <t>AID-F</t>
  </si>
  <si>
    <t>ESZ1-3</t>
  </si>
  <si>
    <t>K1-3</t>
  </si>
  <si>
    <t>ESZ1-2</t>
  </si>
  <si>
    <t>K1-2</t>
  </si>
  <si>
    <t>ESZ1-1</t>
  </si>
  <si>
    <t>K1-1</t>
  </si>
  <si>
    <t>PTZ-P</t>
  </si>
  <si>
    <t>RSU</t>
  </si>
  <si>
    <t>FE-1</t>
  </si>
  <si>
    <t>VJT-P</t>
  </si>
  <si>
    <t>AID-P</t>
  </si>
  <si>
    <t>Fesz esés</t>
  </si>
  <si>
    <t>Hurok IMP</t>
  </si>
  <si>
    <t>Iz [A]</t>
  </si>
  <si>
    <t>FE1.1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</si>
</sst>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 x14ac:knownFonts="1">
    <font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0"/>
      <name val="MS Sans Serif"/>
      <charset val="238"/>
    </font>
    <font>
      <sz val="11"/>
      <color theme="1"/>
      <name val="Microsoft Sans Serif"/>
      <family val="2"/>
    </font>
    <font>
      <vertAlign val="superscript"/>
      <sz val="11"/>
      <color theme="1"/>
      <name val="Microsoft Sans Serif"/>
      <family val="2"/>
    </font>
    <font>
      <sz val="11"/>
      <name val="Microsoft Sans Serif"/>
      <family val="2"/>
    </font>
    <font>
      <b/>
      <sz val="11"/>
      <color rgb="FFFF0000"/>
      <name val="Microsoft Sans Serif"/>
      <family val="2"/>
      <charset val="238"/>
    </font>
    <font>
      <sz val="8"/>
      <name val="Calibri"/>
      <family val="2"/>
      <charset val="238"/>
      <scheme val="minor"/>
    </font>
    <font>
      <b/>
      <sz val="12"/>
      <color theme="1"/>
      <name val="Microsoft Sans Serif"/>
      <family val="2"/>
      <charset val="238"/>
    </font>
    <font>
      <b/>
      <sz val="11"/>
      <color theme="1"/>
      <name val="Microsoft Sans Serif"/>
      <family val="2"/>
      <charset val="238"/>
    </font>
    <font>
      <b/>
      <sz val="12"/>
      <color rgb="FFFF0000"/>
      <name val="Microsoft Sans Serif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48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5" fillId="3" borderId="0" xfId="2" applyFont="1" applyFill="1" applyAlignment="1">
      <alignment horizontal="center"/>
    </xf>
    <xf numFmtId="9" fontId="3" fillId="0" borderId="0" xfId="1" applyFont="1" applyAlignment="1">
      <alignment horizontal="center" vertical="center"/>
    </xf>
    <xf numFmtId="9" fontId="3" fillId="0" borderId="0" xfId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2" fontId="3" fillId="4" borderId="0" xfId="0" applyNumberFormat="1" applyFont="1" applyFill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9" fontId="3" fillId="0" borderId="3" xfId="1" applyFont="1" applyBorder="1" applyAlignment="1">
      <alignment horizontal="center" vertical="center"/>
    </xf>
    <xf numFmtId="164" fontId="3" fillId="5" borderId="3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64" fontId="3" fillId="4" borderId="3" xfId="0" applyNumberFormat="1" applyFont="1" applyFill="1" applyBorder="1" applyAlignment="1">
      <alignment horizontal="center" vertical="center"/>
    </xf>
    <xf numFmtId="2" fontId="3" fillId="4" borderId="3" xfId="0" applyNumberFormat="1" applyFont="1" applyFill="1" applyBorder="1" applyAlignment="1">
      <alignment horizontal="center" vertical="center"/>
    </xf>
    <xf numFmtId="165" fontId="3" fillId="4" borderId="3" xfId="0" applyNumberFormat="1" applyFont="1" applyFill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3" fillId="6" borderId="6" xfId="0" applyFont="1" applyFill="1" applyBorder="1" applyAlignment="1">
      <alignment horizontal="left" vertical="center"/>
    </xf>
    <xf numFmtId="0" fontId="3" fillId="6" borderId="6" xfId="0" applyFont="1" applyFill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64" fontId="10" fillId="0" borderId="10" xfId="0" applyNumberFormat="1" applyFont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</cellXfs>
  <cellStyles count="3">
    <cellStyle name="Normál" xfId="0" builtinId="0"/>
    <cellStyle name="Normál_hal_szam_uj" xfId="2" xr:uid="{00000000-0005-0000-0000-000001000000}"/>
    <cellStyle name="Százalé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topLeftCell="E1" workbookViewId="0">
      <selection activeCell="L25" sqref="L25"/>
    </sheetView>
  </sheetViews>
  <sheetFormatPr defaultRowHeight="14.25" x14ac:dyDescent="0.25"/>
  <cols>
    <col min="1" max="2" width="9" style="3"/>
    <col min="3" max="3" width="10.875" style="3" bestFit="1" customWidth="1"/>
    <col min="4" max="4" width="10" style="3" customWidth="1"/>
    <col min="5" max="5" width="11.375" style="3" bestFit="1" customWidth="1"/>
    <col min="6" max="6" width="10.25" style="3" bestFit="1" customWidth="1"/>
    <col min="7" max="9" width="9" style="2"/>
    <col min="10" max="10" width="11.25" style="2" customWidth="1"/>
    <col min="11" max="11" width="12.5" style="2" customWidth="1"/>
    <col min="12" max="13" width="14.625" style="2" customWidth="1"/>
    <col min="14" max="14" width="12" style="2" customWidth="1"/>
    <col min="15" max="16384" width="9" style="2"/>
  </cols>
  <sheetData>
    <row r="1" spans="2:16" ht="71.25" x14ac:dyDescent="0.25">
      <c r="C1" s="2" t="s">
        <v>16</v>
      </c>
      <c r="D1" s="1" t="s">
        <v>23</v>
      </c>
      <c r="E1" s="3" t="s">
        <v>24</v>
      </c>
      <c r="F1" s="3" t="s">
        <v>0</v>
      </c>
      <c r="G1" s="1" t="s">
        <v>18</v>
      </c>
      <c r="H1" s="1" t="s">
        <v>19</v>
      </c>
      <c r="I1" s="1" t="s">
        <v>21</v>
      </c>
      <c r="J1" s="1" t="s">
        <v>22</v>
      </c>
      <c r="K1" s="1" t="s">
        <v>27</v>
      </c>
      <c r="L1" s="1" t="s">
        <v>25</v>
      </c>
      <c r="M1" s="1" t="s">
        <v>26</v>
      </c>
      <c r="N1" s="1" t="s">
        <v>20</v>
      </c>
      <c r="O1" s="1" t="s">
        <v>28</v>
      </c>
      <c r="P1" s="1" t="s">
        <v>29</v>
      </c>
    </row>
    <row r="2" spans="2:16" x14ac:dyDescent="0.2">
      <c r="J2" s="16"/>
      <c r="N2" s="15">
        <v>2.86E-2</v>
      </c>
    </row>
    <row r="3" spans="2:16" x14ac:dyDescent="0.25">
      <c r="J3" s="16"/>
    </row>
    <row r="4" spans="2:16" ht="15" thickBot="1" x14ac:dyDescent="0.3">
      <c r="J4" s="16"/>
    </row>
    <row r="5" spans="2:16" x14ac:dyDescent="0.25">
      <c r="E5" s="4" t="s">
        <v>4</v>
      </c>
      <c r="F5" s="4" t="s">
        <v>5</v>
      </c>
      <c r="G5" s="5">
        <v>5</v>
      </c>
      <c r="H5" s="5"/>
      <c r="J5" s="17"/>
    </row>
    <row r="6" spans="2:16" ht="15" thickBot="1" x14ac:dyDescent="0.3">
      <c r="E6" s="6"/>
      <c r="F6" s="6" t="s">
        <v>6</v>
      </c>
      <c r="G6" s="7">
        <v>1</v>
      </c>
      <c r="H6" s="7"/>
      <c r="J6" s="17"/>
    </row>
    <row r="7" spans="2:16" ht="15" thickBot="1" x14ac:dyDescent="0.3">
      <c r="E7" s="8" t="s">
        <v>7</v>
      </c>
      <c r="F7" s="8"/>
      <c r="G7" s="9"/>
      <c r="H7" s="9">
        <f>SUM(G5:G6)</f>
        <v>6</v>
      </c>
      <c r="I7" s="2">
        <v>100</v>
      </c>
      <c r="J7" s="17">
        <v>0.01</v>
      </c>
      <c r="K7" s="2">
        <f>+J7*230/2</f>
        <v>1.1500000000000001</v>
      </c>
      <c r="L7" s="18">
        <f>+N2*I7*H7/K7</f>
        <v>14.921739130434782</v>
      </c>
      <c r="M7" s="19">
        <v>25</v>
      </c>
      <c r="O7" s="20">
        <f>+N2/M7*H7*I7</f>
        <v>0.68640000000000001</v>
      </c>
      <c r="P7" s="21">
        <f>+O7*100*2/230</f>
        <v>0.59686956521739132</v>
      </c>
    </row>
    <row r="8" spans="2:16" x14ac:dyDescent="0.25">
      <c r="E8" s="4" t="s">
        <v>8</v>
      </c>
      <c r="F8" s="4" t="s">
        <v>4</v>
      </c>
      <c r="G8" s="5">
        <f>+H7</f>
        <v>6</v>
      </c>
      <c r="H8" s="5"/>
      <c r="J8" s="17"/>
    </row>
    <row r="9" spans="2:16" ht="15" thickBot="1" x14ac:dyDescent="0.3">
      <c r="E9" s="6"/>
      <c r="F9" s="6" t="s">
        <v>9</v>
      </c>
      <c r="G9" s="7">
        <v>6</v>
      </c>
      <c r="H9" s="7"/>
      <c r="J9" s="17"/>
    </row>
    <row r="10" spans="2:16" ht="15" thickBot="1" x14ac:dyDescent="0.3">
      <c r="E10" s="3" t="s">
        <v>10</v>
      </c>
      <c r="H10" s="2">
        <f>SUM(G8:G9)</f>
        <v>12</v>
      </c>
      <c r="J10" s="16">
        <v>0.04</v>
      </c>
    </row>
    <row r="11" spans="2:16" ht="15" thickBot="1" x14ac:dyDescent="0.3">
      <c r="B11" s="3" t="s">
        <v>1</v>
      </c>
      <c r="C11" s="10" t="s">
        <v>17</v>
      </c>
      <c r="D11" s="10"/>
      <c r="E11" s="8" t="s">
        <v>3</v>
      </c>
      <c r="F11" s="8"/>
      <c r="G11" s="9"/>
      <c r="H11" s="9"/>
      <c r="J11" s="17"/>
    </row>
    <row r="12" spans="2:16" ht="15" thickBot="1" x14ac:dyDescent="0.3">
      <c r="E12" s="8" t="s">
        <v>2</v>
      </c>
      <c r="F12" s="8"/>
      <c r="G12" s="9"/>
      <c r="H12" s="9"/>
      <c r="J12" s="17">
        <v>0.04</v>
      </c>
    </row>
    <row r="13" spans="2:16" x14ac:dyDescent="0.25">
      <c r="E13" s="11" t="s">
        <v>11</v>
      </c>
      <c r="F13" s="11" t="s">
        <v>12</v>
      </c>
      <c r="G13" s="12">
        <v>1</v>
      </c>
      <c r="H13" s="12"/>
      <c r="J13" s="17"/>
    </row>
    <row r="14" spans="2:16" x14ac:dyDescent="0.25">
      <c r="E14" s="13"/>
      <c r="F14" s="13" t="s">
        <v>13</v>
      </c>
      <c r="G14" s="14">
        <v>1</v>
      </c>
      <c r="H14" s="14"/>
      <c r="J14" s="17"/>
    </row>
    <row r="15" spans="2:16" ht="15" thickBot="1" x14ac:dyDescent="0.3">
      <c r="E15" s="6"/>
      <c r="F15" s="6" t="s">
        <v>14</v>
      </c>
      <c r="G15" s="7">
        <f>+H18</f>
        <v>7</v>
      </c>
      <c r="H15" s="7">
        <f>SUM(G13:G15)</f>
        <v>9</v>
      </c>
      <c r="J15" s="17"/>
    </row>
    <row r="16" spans="2:16" ht="15" thickBot="1" x14ac:dyDescent="0.3">
      <c r="E16" s="8" t="s">
        <v>15</v>
      </c>
      <c r="F16" s="8"/>
      <c r="G16" s="9"/>
      <c r="H16" s="9"/>
      <c r="J16" s="17">
        <v>0.04</v>
      </c>
    </row>
    <row r="17" spans="5:10" x14ac:dyDescent="0.25">
      <c r="E17" s="4" t="s">
        <v>14</v>
      </c>
      <c r="F17" s="4" t="s">
        <v>9</v>
      </c>
      <c r="G17" s="5">
        <v>6</v>
      </c>
      <c r="H17" s="5"/>
      <c r="J17" s="17"/>
    </row>
    <row r="18" spans="5:10" ht="15" thickBot="1" x14ac:dyDescent="0.3">
      <c r="E18" s="6"/>
      <c r="F18" s="6" t="s">
        <v>12</v>
      </c>
      <c r="G18" s="7">
        <v>1</v>
      </c>
      <c r="H18" s="7">
        <f>SUM(G17:G18)</f>
        <v>7</v>
      </c>
      <c r="J18" s="17"/>
    </row>
    <row r="19" spans="5:10" x14ac:dyDescent="0.25">
      <c r="J19" s="16"/>
    </row>
    <row r="20" spans="5:10" x14ac:dyDescent="0.25">
      <c r="J20" s="16"/>
    </row>
    <row r="21" spans="5:10" x14ac:dyDescent="0.25">
      <c r="J21" s="16"/>
    </row>
    <row r="22" spans="5:10" x14ac:dyDescent="0.25">
      <c r="J22" s="1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1"/>
  <sheetViews>
    <sheetView workbookViewId="0">
      <selection activeCell="F11" sqref="F11"/>
    </sheetView>
  </sheetViews>
  <sheetFormatPr defaultRowHeight="14.25" x14ac:dyDescent="0.25"/>
  <cols>
    <col min="1" max="1" width="9" style="3"/>
    <col min="2" max="2" width="10.875" style="3" bestFit="1" customWidth="1"/>
    <col min="3" max="3" width="10" style="3" customWidth="1"/>
    <col min="4" max="4" width="11.375" style="3" bestFit="1" customWidth="1"/>
    <col min="5" max="5" width="10.25" style="3" bestFit="1" customWidth="1"/>
    <col min="6" max="8" width="9" style="2"/>
    <col min="9" max="9" width="11.25" style="2" customWidth="1"/>
    <col min="10" max="10" width="12.5" style="2" customWidth="1"/>
    <col min="11" max="12" width="14.625" style="2" customWidth="1"/>
    <col min="13" max="13" width="12" style="2" customWidth="1"/>
    <col min="14" max="15" width="9" style="2"/>
    <col min="16" max="16" width="10.5" style="2" customWidth="1"/>
    <col min="17" max="17" width="12.375" style="2" customWidth="1"/>
    <col min="18" max="16384" width="9" style="2"/>
  </cols>
  <sheetData>
    <row r="1" spans="1:17" ht="71.25" x14ac:dyDescent="0.25">
      <c r="B1" s="2" t="s">
        <v>16</v>
      </c>
      <c r="C1" s="1" t="s">
        <v>33</v>
      </c>
      <c r="D1" s="3" t="s">
        <v>24</v>
      </c>
      <c r="E1" s="3" t="s">
        <v>0</v>
      </c>
      <c r="F1" s="1" t="s">
        <v>18</v>
      </c>
      <c r="G1" s="1" t="s">
        <v>19</v>
      </c>
      <c r="H1" s="1" t="s">
        <v>21</v>
      </c>
      <c r="I1" s="1" t="s">
        <v>22</v>
      </c>
      <c r="J1" s="1" t="s">
        <v>30</v>
      </c>
      <c r="K1" s="1" t="s">
        <v>25</v>
      </c>
      <c r="L1" s="1" t="s">
        <v>26</v>
      </c>
      <c r="M1" s="1" t="s">
        <v>20</v>
      </c>
      <c r="N1" s="1" t="s">
        <v>28</v>
      </c>
      <c r="O1" s="1" t="s">
        <v>29</v>
      </c>
      <c r="P1" s="24" t="s">
        <v>32</v>
      </c>
      <c r="Q1" s="24" t="s">
        <v>31</v>
      </c>
    </row>
    <row r="2" spans="1:17" x14ac:dyDescent="0.2">
      <c r="I2" s="16"/>
      <c r="M2" s="15">
        <v>2.86E-2</v>
      </c>
    </row>
    <row r="3" spans="1:17" ht="15" thickBot="1" x14ac:dyDescent="0.3">
      <c r="I3" s="16"/>
    </row>
    <row r="4" spans="1:17" ht="20.100000000000001" customHeight="1" x14ac:dyDescent="0.25">
      <c r="D4" s="22" t="s">
        <v>4</v>
      </c>
      <c r="E4" s="4" t="s">
        <v>5</v>
      </c>
      <c r="F4" s="5">
        <v>5</v>
      </c>
      <c r="G4" s="5"/>
      <c r="I4" s="17"/>
    </row>
    <row r="5" spans="1:17" ht="20.100000000000001" customHeight="1" thickBot="1" x14ac:dyDescent="0.3">
      <c r="E5" s="25" t="s">
        <v>6</v>
      </c>
      <c r="F5" s="26">
        <v>1</v>
      </c>
      <c r="G5" s="26">
        <f>SUM(F4:F5)</f>
        <v>6</v>
      </c>
      <c r="I5" s="17"/>
    </row>
    <row r="6" spans="1:17" ht="20.100000000000001" customHeight="1" thickBot="1" x14ac:dyDescent="0.3">
      <c r="D6" s="8" t="s">
        <v>7</v>
      </c>
      <c r="E6" s="8"/>
      <c r="F6" s="9"/>
      <c r="G6" s="9">
        <f>+G5</f>
        <v>6</v>
      </c>
      <c r="H6" s="9">
        <v>130</v>
      </c>
      <c r="I6" s="27">
        <v>0.04</v>
      </c>
      <c r="J6" s="28">
        <f>0.75*400*I6/SQRT(3)</f>
        <v>6.9282032302755097</v>
      </c>
      <c r="K6" s="28">
        <f>+$M$2*H6*G6/J6</f>
        <v>3.2198824512705428</v>
      </c>
      <c r="L6" s="29">
        <v>25</v>
      </c>
      <c r="M6" s="9"/>
      <c r="N6" s="30">
        <f>+$M$2/L6*G6*H6*SQRT(3)</f>
        <v>1.5455435766098604</v>
      </c>
      <c r="O6" s="31">
        <f>+N6*100/400</f>
        <v>0.38638589415246505</v>
      </c>
      <c r="P6" s="32">
        <f>+$M$2*H6/L6*2</f>
        <v>0.29743999999999998</v>
      </c>
      <c r="Q6" s="30">
        <f>230/P6</f>
        <v>773.26519634211945</v>
      </c>
    </row>
    <row r="7" spans="1:17" ht="20.100000000000001" customHeight="1" x14ac:dyDescent="0.25">
      <c r="D7" s="3" t="s">
        <v>8</v>
      </c>
      <c r="E7" s="11" t="s">
        <v>4</v>
      </c>
      <c r="F7" s="12">
        <f>+G6</f>
        <v>6</v>
      </c>
      <c r="G7" s="12"/>
      <c r="I7" s="17"/>
    </row>
    <row r="8" spans="1:17" ht="20.100000000000001" customHeight="1" thickBot="1" x14ac:dyDescent="0.3">
      <c r="E8" s="25" t="s">
        <v>9</v>
      </c>
      <c r="F8" s="26">
        <v>6</v>
      </c>
      <c r="G8" s="26">
        <f>SUM(F7:F8)</f>
        <v>12</v>
      </c>
      <c r="I8" s="17"/>
    </row>
    <row r="9" spans="1:17" ht="20.100000000000001" customHeight="1" thickBot="1" x14ac:dyDescent="0.3">
      <c r="D9" s="8" t="s">
        <v>10</v>
      </c>
      <c r="E9" s="8"/>
      <c r="F9" s="9"/>
      <c r="G9" s="9">
        <f>+G8</f>
        <v>12</v>
      </c>
      <c r="H9" s="9">
        <v>200</v>
      </c>
      <c r="I9" s="27">
        <v>0.04</v>
      </c>
      <c r="J9" s="28">
        <f>0.75*400*I9/SQRT(3)</f>
        <v>6.9282032302755097</v>
      </c>
      <c r="K9" s="28">
        <f>+$M$2*H9*G9/J9</f>
        <v>9.9073306192939778</v>
      </c>
      <c r="L9" s="29">
        <v>25</v>
      </c>
      <c r="M9" s="9"/>
      <c r="N9" s="30">
        <f>+$M$2/L9*G9*H9*SQRT(3)</f>
        <v>4.7555186972611097</v>
      </c>
      <c r="O9" s="31">
        <f>+N9*100/400</f>
        <v>1.1888796743152774</v>
      </c>
      <c r="P9" s="32">
        <f>+$M$2*H9/L9*2</f>
        <v>0.45760000000000001</v>
      </c>
      <c r="Q9" s="30">
        <f>230/P9</f>
        <v>502.6223776223776</v>
      </c>
    </row>
    <row r="10" spans="1:17" ht="20.100000000000001" customHeight="1" thickBot="1" x14ac:dyDescent="0.3">
      <c r="A10" s="3" t="s">
        <v>1</v>
      </c>
      <c r="B10" s="3" t="s">
        <v>17</v>
      </c>
      <c r="D10" s="3" t="s">
        <v>3</v>
      </c>
      <c r="I10" s="17"/>
    </row>
    <row r="11" spans="1:17" ht="20.100000000000001" customHeight="1" thickBot="1" x14ac:dyDescent="0.3">
      <c r="D11" s="8" t="s">
        <v>2</v>
      </c>
      <c r="E11" s="8"/>
      <c r="F11" s="9"/>
      <c r="G11" s="9"/>
      <c r="H11" s="9"/>
      <c r="I11" s="27">
        <v>0.04</v>
      </c>
      <c r="J11" s="9"/>
      <c r="K11" s="9"/>
      <c r="L11" s="9"/>
      <c r="M11" s="9"/>
      <c r="N11" s="9"/>
      <c r="O11" s="9"/>
      <c r="P11" s="9"/>
      <c r="Q11" s="9"/>
    </row>
    <row r="12" spans="1:17" ht="20.100000000000001" customHeight="1" x14ac:dyDescent="0.25">
      <c r="D12" s="3" t="s">
        <v>11</v>
      </c>
      <c r="E12" s="11" t="s">
        <v>12</v>
      </c>
      <c r="F12" s="12">
        <v>1</v>
      </c>
      <c r="G12" s="12"/>
      <c r="I12" s="17"/>
    </row>
    <row r="13" spans="1:17" ht="20.100000000000001" customHeight="1" x14ac:dyDescent="0.25">
      <c r="E13" s="13" t="s">
        <v>13</v>
      </c>
      <c r="F13" s="14">
        <v>1</v>
      </c>
      <c r="G13" s="14"/>
      <c r="I13" s="17"/>
    </row>
    <row r="14" spans="1:17" ht="20.100000000000001" customHeight="1" thickBot="1" x14ac:dyDescent="0.3">
      <c r="E14" s="25" t="s">
        <v>14</v>
      </c>
      <c r="F14" s="26">
        <f>+G17</f>
        <v>7</v>
      </c>
      <c r="G14" s="26">
        <f>SUM(F12:F14)</f>
        <v>9</v>
      </c>
      <c r="I14" s="17"/>
    </row>
    <row r="15" spans="1:17" ht="20.100000000000001" customHeight="1" thickBot="1" x14ac:dyDescent="0.3">
      <c r="D15" s="8" t="s">
        <v>15</v>
      </c>
      <c r="E15" s="8"/>
      <c r="F15" s="9"/>
      <c r="G15" s="9">
        <f>+G14</f>
        <v>9</v>
      </c>
      <c r="H15" s="9"/>
      <c r="I15" s="27">
        <v>0.04</v>
      </c>
      <c r="J15" s="9"/>
      <c r="K15" s="9"/>
      <c r="L15" s="9"/>
      <c r="M15" s="9"/>
      <c r="N15" s="9"/>
      <c r="O15" s="9"/>
      <c r="P15" s="9"/>
      <c r="Q15" s="9"/>
    </row>
    <row r="16" spans="1:17" ht="20.100000000000001" customHeight="1" x14ac:dyDescent="0.25">
      <c r="D16" s="3" t="s">
        <v>14</v>
      </c>
      <c r="E16" s="11" t="s">
        <v>9</v>
      </c>
      <c r="F16" s="12">
        <v>6</v>
      </c>
      <c r="G16" s="12"/>
      <c r="I16" s="17"/>
    </row>
    <row r="17" spans="4:9" ht="20.100000000000001" customHeight="1" thickBot="1" x14ac:dyDescent="0.3">
      <c r="D17" s="23"/>
      <c r="E17" s="6" t="s">
        <v>12</v>
      </c>
      <c r="F17" s="7">
        <v>1</v>
      </c>
      <c r="G17" s="7">
        <f>SUM(F16:F17)</f>
        <v>7</v>
      </c>
      <c r="I17" s="17"/>
    </row>
    <row r="18" spans="4:9" x14ac:dyDescent="0.25">
      <c r="I18" s="16"/>
    </row>
    <row r="19" spans="4:9" x14ac:dyDescent="0.25">
      <c r="I19" s="16"/>
    </row>
    <row r="20" spans="4:9" x14ac:dyDescent="0.25">
      <c r="I20" s="16"/>
    </row>
    <row r="21" spans="4:9" x14ac:dyDescent="0.25">
      <c r="I21" s="1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4AEA4-3503-4CD4-B596-3206C05D4F6F}">
  <dimension ref="A1:AC47"/>
  <sheetViews>
    <sheetView tabSelected="1" topLeftCell="D1" zoomScale="70" zoomScaleNormal="70" workbookViewId="0">
      <selection activeCell="X11" sqref="X11"/>
    </sheetView>
  </sheetViews>
  <sheetFormatPr defaultRowHeight="14.25" x14ac:dyDescent="0.25"/>
  <cols>
    <col min="1" max="1" width="0" style="3" hidden="1" customWidth="1"/>
    <col min="2" max="2" width="10.875" style="3" hidden="1" customWidth="1"/>
    <col min="3" max="3" width="10" style="3" hidden="1" customWidth="1"/>
    <col min="4" max="4" width="11.375" style="3" bestFit="1" customWidth="1"/>
    <col min="5" max="5" width="10.25" style="3" bestFit="1" customWidth="1"/>
    <col min="6" max="8" width="9" style="2"/>
    <col min="9" max="9" width="11.25" style="2" customWidth="1"/>
    <col min="10" max="10" width="12.5" style="2" customWidth="1"/>
    <col min="11" max="12" width="14.625" style="2" customWidth="1"/>
    <col min="13" max="13" width="12" style="2" customWidth="1"/>
    <col min="14" max="15" width="9" style="2"/>
    <col min="16" max="16" width="10.5" style="2" customWidth="1"/>
    <col min="17" max="17" width="12.375" style="2" customWidth="1"/>
    <col min="18" max="20" width="9" style="2"/>
    <col min="21" max="21" width="10" style="2" bestFit="1" customWidth="1"/>
    <col min="22" max="22" width="9.625" style="2" bestFit="1" customWidth="1"/>
    <col min="23" max="28" width="9" style="2"/>
    <col min="29" max="29" width="10.625" style="2" bestFit="1" customWidth="1"/>
    <col min="30" max="16384" width="9" style="2"/>
  </cols>
  <sheetData>
    <row r="1" spans="2:29" ht="71.25" x14ac:dyDescent="0.25">
      <c r="B1" s="2" t="s">
        <v>16</v>
      </c>
      <c r="C1" s="1" t="s">
        <v>33</v>
      </c>
      <c r="D1" s="3" t="s">
        <v>24</v>
      </c>
      <c r="E1" s="3" t="s">
        <v>0</v>
      </c>
      <c r="F1" s="1" t="s">
        <v>18</v>
      </c>
      <c r="G1" s="1" t="s">
        <v>19</v>
      </c>
      <c r="H1" s="1" t="s">
        <v>21</v>
      </c>
      <c r="I1" s="1" t="s">
        <v>22</v>
      </c>
      <c r="J1" s="1" t="s">
        <v>30</v>
      </c>
      <c r="K1" s="1" t="s">
        <v>25</v>
      </c>
      <c r="L1" s="1" t="s">
        <v>26</v>
      </c>
      <c r="M1" s="1" t="s">
        <v>20</v>
      </c>
      <c r="N1" s="1" t="s">
        <v>28</v>
      </c>
      <c r="O1" s="1" t="s">
        <v>29</v>
      </c>
      <c r="P1" s="24" t="s">
        <v>32</v>
      </c>
      <c r="Q1" s="24" t="s">
        <v>31</v>
      </c>
    </row>
    <row r="2" spans="2:29" ht="15" customHeight="1" x14ac:dyDescent="0.2">
      <c r="I2" s="16"/>
      <c r="M2" s="15">
        <v>2.86E-2</v>
      </c>
    </row>
    <row r="3" spans="2:29" ht="24.95" customHeight="1" x14ac:dyDescent="0.2">
      <c r="I3" s="16"/>
      <c r="M3" s="15"/>
      <c r="V3" s="2" t="s">
        <v>37</v>
      </c>
      <c r="W3" s="2" t="s">
        <v>36</v>
      </c>
      <c r="X3" s="2" t="s">
        <v>39</v>
      </c>
      <c r="Y3" s="2" t="s">
        <v>41</v>
      </c>
      <c r="Z3" s="2" t="s">
        <v>45</v>
      </c>
      <c r="AA3" s="2" t="s">
        <v>47</v>
      </c>
      <c r="AB3" s="2" t="s">
        <v>49</v>
      </c>
      <c r="AC3" s="2" t="s">
        <v>59</v>
      </c>
    </row>
    <row r="4" spans="2:29" ht="24.95" customHeight="1" x14ac:dyDescent="0.25">
      <c r="I4" s="16"/>
      <c r="U4" s="2" t="s">
        <v>56</v>
      </c>
      <c r="V4" s="46">
        <f>+N10+N29+N42</f>
        <v>3.5006985010155431</v>
      </c>
      <c r="W4" s="46">
        <f>+N13+N17+N42</f>
        <v>0.67357235748567179</v>
      </c>
      <c r="X4" s="46">
        <f>+N17+N42</f>
        <v>0.47130033262991822</v>
      </c>
      <c r="Y4" s="46">
        <f>+N22+N29+N42</f>
        <v>4.4185552203755378</v>
      </c>
      <c r="Z4" s="46">
        <f>+N29+N42</f>
        <v>3.2153535089170098</v>
      </c>
      <c r="AA4" s="46">
        <f>+N32+N39+N42</f>
        <v>4.379992228200452</v>
      </c>
      <c r="AB4" s="46">
        <f>+N39+N42</f>
        <v>4.1648050071493881</v>
      </c>
      <c r="AC4" s="47">
        <f>+N42</f>
        <v>6.5733846398499995E-2</v>
      </c>
    </row>
    <row r="5" spans="2:29" ht="24.95" customHeight="1" x14ac:dyDescent="0.25">
      <c r="I5" s="16"/>
      <c r="U5" s="2" t="s">
        <v>57</v>
      </c>
      <c r="V5" s="44">
        <f>+P10+P29+P42</f>
        <v>0.98361119999999991</v>
      </c>
      <c r="W5" s="44">
        <f>+P13+P17+P42</f>
        <v>1.0900032000000002</v>
      </c>
      <c r="X5" s="44">
        <f>+P17+P42</f>
        <v>0.54683199999999998</v>
      </c>
      <c r="Y5" s="44">
        <f>+P22+P29+P42</f>
        <v>0.80606240000000007</v>
      </c>
      <c r="Z5" s="44">
        <f>+P29+P42</f>
        <v>0.21736000000000003</v>
      </c>
      <c r="AA5" s="44">
        <f>+P32+P39+P42</f>
        <v>0.48402640000000002</v>
      </c>
      <c r="AB5" s="44">
        <f>+P39+P42</f>
        <v>0.31837520000000002</v>
      </c>
      <c r="AC5" s="45">
        <f>+P42</f>
        <v>2.2880000000000001E-3</v>
      </c>
    </row>
    <row r="6" spans="2:29" ht="24.95" customHeight="1" x14ac:dyDescent="0.25">
      <c r="I6" s="16"/>
      <c r="U6" s="2" t="s">
        <v>58</v>
      </c>
      <c r="V6" s="44">
        <f>230/V5</f>
        <v>233.83222964520942</v>
      </c>
      <c r="W6" s="44">
        <f t="shared" ref="W6:AC6" si="0">230/W5</f>
        <v>211.00855483727017</v>
      </c>
      <c r="X6" s="44">
        <f t="shared" si="0"/>
        <v>420.60450010240805</v>
      </c>
      <c r="Y6" s="44">
        <f t="shared" si="0"/>
        <v>285.33771082735029</v>
      </c>
      <c r="Z6" s="44">
        <f t="shared" si="0"/>
        <v>1058.1523739418476</v>
      </c>
      <c r="AA6" s="44">
        <f t="shared" si="0"/>
        <v>475.18069262337752</v>
      </c>
      <c r="AB6" s="44">
        <f t="shared" si="0"/>
        <v>722.41807778997861</v>
      </c>
      <c r="AC6" s="44">
        <f t="shared" si="0"/>
        <v>100524.47552447552</v>
      </c>
    </row>
    <row r="7" spans="2:29" ht="24.95" customHeight="1" thickBot="1" x14ac:dyDescent="0.3">
      <c r="I7" s="16"/>
      <c r="V7" s="44"/>
      <c r="W7" s="44"/>
      <c r="X7" s="44"/>
      <c r="Y7" s="44"/>
      <c r="Z7" s="44"/>
      <c r="AA7" s="44"/>
      <c r="AB7" s="44"/>
    </row>
    <row r="8" spans="2:29" ht="24.95" customHeight="1" x14ac:dyDescent="0.25">
      <c r="D8" s="22" t="s">
        <v>37</v>
      </c>
      <c r="E8" s="4" t="s">
        <v>34</v>
      </c>
      <c r="F8" s="5">
        <v>0.43</v>
      </c>
      <c r="G8" s="5"/>
      <c r="I8" s="17"/>
    </row>
    <row r="9" spans="2:29" ht="24.95" customHeight="1" thickBot="1" x14ac:dyDescent="0.3">
      <c r="E9" s="25"/>
      <c r="F9" s="26"/>
      <c r="G9" s="26">
        <f>SUM(F8:F9)</f>
        <v>0.43</v>
      </c>
      <c r="I9" s="17"/>
    </row>
    <row r="10" spans="2:29" ht="24.95" customHeight="1" thickBot="1" x14ac:dyDescent="0.3">
      <c r="D10" s="8" t="s">
        <v>35</v>
      </c>
      <c r="E10" s="8"/>
      <c r="F10" s="9"/>
      <c r="G10" s="9">
        <f>+G9</f>
        <v>0.43</v>
      </c>
      <c r="H10" s="9">
        <v>334.9</v>
      </c>
      <c r="I10" s="27">
        <v>0.04</v>
      </c>
      <c r="J10" s="28">
        <f>0.75*400*I10/SQRT(3)</f>
        <v>6.9282032302755097</v>
      </c>
      <c r="K10" s="28">
        <f>+$M$2*H10*G10/J10</f>
        <v>0.59446873353861152</v>
      </c>
      <c r="L10" s="29">
        <v>25</v>
      </c>
      <c r="M10" s="9"/>
      <c r="N10" s="30">
        <f>+$M$2/L10*G10*H10*SQRT(3)</f>
        <v>0.28534499209853353</v>
      </c>
      <c r="O10" s="31">
        <f>+N10*100/400</f>
        <v>7.1336248024633384E-2</v>
      </c>
      <c r="P10" s="32">
        <f>+$M$2*H10/L10*2</f>
        <v>0.76625119999999991</v>
      </c>
      <c r="Q10" s="30">
        <f>230/P10</f>
        <v>300.16266206173646</v>
      </c>
    </row>
    <row r="11" spans="2:29" ht="24.95" customHeight="1" x14ac:dyDescent="0.25">
      <c r="D11" s="3" t="s">
        <v>36</v>
      </c>
      <c r="E11" s="4" t="s">
        <v>34</v>
      </c>
      <c r="F11" s="5">
        <v>0.43</v>
      </c>
      <c r="G11" s="5"/>
      <c r="I11" s="17"/>
    </row>
    <row r="12" spans="2:29" ht="24.95" customHeight="1" thickBot="1" x14ac:dyDescent="0.3">
      <c r="E12" s="25"/>
      <c r="F12" s="26"/>
      <c r="G12" s="26">
        <f>SUM(F11:F12)</f>
        <v>0.43</v>
      </c>
      <c r="I12" s="17"/>
    </row>
    <row r="13" spans="2:29" ht="24.95" customHeight="1" thickBot="1" x14ac:dyDescent="0.3">
      <c r="D13" s="8" t="s">
        <v>38</v>
      </c>
      <c r="E13" s="8"/>
      <c r="F13" s="9"/>
      <c r="G13" s="9">
        <f>+G12</f>
        <v>0.43</v>
      </c>
      <c r="H13" s="9">
        <v>237.4</v>
      </c>
      <c r="I13" s="27">
        <v>0.04</v>
      </c>
      <c r="J13" s="28">
        <f>0.75*400*I13/SQRT(3)</f>
        <v>6.9282032302755097</v>
      </c>
      <c r="K13" s="28">
        <f>+$M$2*H13*G13/J13</f>
        <v>0.42140005178281992</v>
      </c>
      <c r="L13" s="29">
        <v>25</v>
      </c>
      <c r="M13" s="9"/>
      <c r="N13" s="30">
        <f>+$M$2/L13*G13*H13*SQRT(3)</f>
        <v>0.20227202485575357</v>
      </c>
      <c r="O13" s="31">
        <f>+N13*100/400</f>
        <v>5.0568006213938393E-2</v>
      </c>
      <c r="P13" s="32">
        <f>+$M$2*H13/L13*2</f>
        <v>0.54317120000000008</v>
      </c>
      <c r="Q13" s="30">
        <f>230/P13</f>
        <v>423.4392397829634</v>
      </c>
    </row>
    <row r="14" spans="2:29" ht="24.95" customHeight="1" x14ac:dyDescent="0.25">
      <c r="D14" s="3" t="s">
        <v>53</v>
      </c>
      <c r="E14" s="4" t="s">
        <v>34</v>
      </c>
      <c r="F14" s="5">
        <v>0.43</v>
      </c>
      <c r="G14" s="5"/>
      <c r="I14" s="17"/>
    </row>
    <row r="15" spans="2:29" ht="24.95" customHeight="1" x14ac:dyDescent="0.25">
      <c r="E15" s="13" t="s">
        <v>34</v>
      </c>
      <c r="F15" s="14">
        <v>0.43</v>
      </c>
      <c r="I15" s="17"/>
    </row>
    <row r="16" spans="2:29" ht="24.95" customHeight="1" thickBot="1" x14ac:dyDescent="0.3">
      <c r="E16" s="6"/>
      <c r="F16" s="7"/>
      <c r="G16" s="26">
        <f>SUM(F14:F16)</f>
        <v>0.86</v>
      </c>
      <c r="I16" s="17"/>
    </row>
    <row r="17" spans="4:17" ht="24.95" customHeight="1" thickBot="1" x14ac:dyDescent="0.3">
      <c r="D17" s="8" t="s">
        <v>40</v>
      </c>
      <c r="E17" s="8"/>
      <c r="F17" s="9"/>
      <c r="G17" s="9">
        <f>+G16</f>
        <v>0.86</v>
      </c>
      <c r="H17" s="9">
        <v>238</v>
      </c>
      <c r="I17" s="27">
        <v>0.04</v>
      </c>
      <c r="J17" s="28">
        <f>0.75*400*I17/SQRT(3)</f>
        <v>6.9282032302755097</v>
      </c>
      <c r="K17" s="28">
        <f>+$M$2*H17*G17/J17</f>
        <v>0.84493017964878803</v>
      </c>
      <c r="L17" s="29">
        <v>25</v>
      </c>
      <c r="M17" s="9"/>
      <c r="N17" s="30">
        <f>+$M$2/L17*G17*H17*SQRT(3)</f>
        <v>0.40556648623141822</v>
      </c>
      <c r="O17" s="31">
        <f>+N17*100/400</f>
        <v>0.10139162155785457</v>
      </c>
      <c r="P17" s="32">
        <f>+$M$2*H17/L17*2</f>
        <v>0.54454400000000003</v>
      </c>
      <c r="Q17" s="30">
        <f>230/P17</f>
        <v>422.37174590115762</v>
      </c>
    </row>
    <row r="18" spans="4:17" ht="24.95" customHeight="1" x14ac:dyDescent="0.25">
      <c r="D18" s="3" t="s">
        <v>41</v>
      </c>
      <c r="E18" s="22" t="s">
        <v>43</v>
      </c>
      <c r="F18" s="35">
        <v>1.5</v>
      </c>
      <c r="G18" s="35"/>
      <c r="I18" s="17"/>
    </row>
    <row r="19" spans="4:17" ht="24.95" customHeight="1" x14ac:dyDescent="0.25">
      <c r="E19" s="3" t="s">
        <v>44</v>
      </c>
      <c r="F19" s="2">
        <v>0.43</v>
      </c>
      <c r="I19" s="17"/>
      <c r="M19" s="34"/>
    </row>
    <row r="20" spans="4:17" ht="24.95" customHeight="1" x14ac:dyDescent="0.25">
      <c r="E20" s="3" t="s">
        <v>34</v>
      </c>
      <c r="F20" s="2">
        <v>0.43</v>
      </c>
      <c r="I20" s="17"/>
    </row>
    <row r="21" spans="4:17" ht="24.95" customHeight="1" thickBot="1" x14ac:dyDescent="0.3">
      <c r="E21" s="6"/>
      <c r="F21" s="7"/>
      <c r="G21" s="26">
        <f>SUM(F18:F21)</f>
        <v>2.36</v>
      </c>
      <c r="I21" s="17"/>
    </row>
    <row r="22" spans="4:17" ht="24.95" customHeight="1" thickBot="1" x14ac:dyDescent="0.3">
      <c r="D22" s="8" t="s">
        <v>42</v>
      </c>
      <c r="E22" s="8"/>
      <c r="F22" s="9"/>
      <c r="G22" s="9">
        <f>+G21</f>
        <v>2.36</v>
      </c>
      <c r="H22" s="9">
        <v>257.3</v>
      </c>
      <c r="I22" s="27">
        <v>0.04</v>
      </c>
      <c r="J22" s="28">
        <f>0.75*400*I22/SQRT(3)</f>
        <v>6.9282032302755097</v>
      </c>
      <c r="K22" s="28">
        <f>+$M$2*H22*G22/J22</f>
        <v>2.5066702322052681</v>
      </c>
      <c r="L22" s="29">
        <v>25</v>
      </c>
      <c r="M22" s="9"/>
      <c r="N22" s="30">
        <f>+$M$2/L22*G22*H22*SQRT(3)</f>
        <v>1.2032017114585285</v>
      </c>
      <c r="O22" s="31">
        <f>+N22*100/400</f>
        <v>0.30080042786463213</v>
      </c>
      <c r="P22" s="32">
        <f>+$M$2*H22/L22*2</f>
        <v>0.58870240000000007</v>
      </c>
      <c r="Q22" s="30">
        <f>230/P22</f>
        <v>390.6897610745259</v>
      </c>
    </row>
    <row r="23" spans="4:17" ht="24.95" customHeight="1" x14ac:dyDescent="0.25">
      <c r="D23" s="3" t="s">
        <v>45</v>
      </c>
      <c r="E23" s="22" t="s">
        <v>43</v>
      </c>
      <c r="F23" s="35">
        <v>1.5</v>
      </c>
      <c r="G23" s="35"/>
      <c r="I23" s="17"/>
    </row>
    <row r="24" spans="4:17" ht="24.95" customHeight="1" x14ac:dyDescent="0.25">
      <c r="E24" s="3" t="s">
        <v>55</v>
      </c>
      <c r="F24" s="2">
        <f>0.43+12.17</f>
        <v>12.6</v>
      </c>
      <c r="I24" s="17"/>
    </row>
    <row r="25" spans="4:17" ht="24.95" customHeight="1" x14ac:dyDescent="0.25">
      <c r="E25" s="25" t="s">
        <v>43</v>
      </c>
      <c r="F25" s="26">
        <v>1.52</v>
      </c>
      <c r="I25" s="17"/>
    </row>
    <row r="26" spans="4:17" ht="24.95" customHeight="1" x14ac:dyDescent="0.25">
      <c r="E26" s="3" t="s">
        <v>44</v>
      </c>
      <c r="F26" s="2">
        <v>0.43</v>
      </c>
      <c r="I26" s="17"/>
    </row>
    <row r="27" spans="4:17" ht="24.95" customHeight="1" x14ac:dyDescent="0.25">
      <c r="E27" s="3" t="s">
        <v>34</v>
      </c>
      <c r="F27" s="2">
        <v>0.43</v>
      </c>
      <c r="I27" s="17"/>
    </row>
    <row r="28" spans="4:17" ht="24.95" customHeight="1" thickBot="1" x14ac:dyDescent="0.3">
      <c r="E28" s="23" t="s">
        <v>34</v>
      </c>
      <c r="F28" s="36">
        <v>0.43</v>
      </c>
      <c r="G28" s="36">
        <f>SUM(F23:F28)</f>
        <v>16.91</v>
      </c>
      <c r="I28" s="17"/>
    </row>
    <row r="29" spans="4:17" ht="24.95" customHeight="1" thickBot="1" x14ac:dyDescent="0.3">
      <c r="D29" s="8" t="s">
        <v>46</v>
      </c>
      <c r="E29" s="8"/>
      <c r="F29" s="9"/>
      <c r="G29" s="9">
        <f>+G28</f>
        <v>16.91</v>
      </c>
      <c r="H29" s="9">
        <v>94</v>
      </c>
      <c r="I29" s="27">
        <v>0.04</v>
      </c>
      <c r="J29" s="28">
        <f>0.75*400*I29/SQRT(3)</f>
        <v>6.9282032302755097</v>
      </c>
      <c r="K29" s="28">
        <f>+$M$2*H29*G29/J29</f>
        <v>6.5617076302468957</v>
      </c>
      <c r="L29" s="29">
        <v>25</v>
      </c>
      <c r="M29" s="9"/>
      <c r="N29" s="30">
        <f>+$M$2/L29*G29*H29*SQRT(3)</f>
        <v>3.1496196625185098</v>
      </c>
      <c r="O29" s="31">
        <f>+N29*100/400</f>
        <v>0.78740491562962744</v>
      </c>
      <c r="P29" s="32">
        <f>+$M$2*H29/L29*2</f>
        <v>0.21507200000000001</v>
      </c>
      <c r="Q29" s="30">
        <f>230/P29</f>
        <v>1069.409314090165</v>
      </c>
    </row>
    <row r="30" spans="4:17" ht="24.95" customHeight="1" x14ac:dyDescent="0.25">
      <c r="D30" s="3" t="s">
        <v>47</v>
      </c>
      <c r="E30" s="22" t="s">
        <v>43</v>
      </c>
      <c r="F30" s="35">
        <v>1.5</v>
      </c>
      <c r="G30" s="5"/>
      <c r="I30" s="17"/>
    </row>
    <row r="31" spans="4:17" ht="24.95" customHeight="1" thickBot="1" x14ac:dyDescent="0.3">
      <c r="E31" s="6"/>
      <c r="F31" s="7"/>
      <c r="G31" s="26">
        <f>SUM(F30:F31)</f>
        <v>1.5</v>
      </c>
      <c r="I31" s="17"/>
    </row>
    <row r="32" spans="4:17" ht="24.95" customHeight="1" thickBot="1" x14ac:dyDescent="0.3">
      <c r="D32" s="8" t="s">
        <v>48</v>
      </c>
      <c r="E32" s="8"/>
      <c r="F32" s="9"/>
      <c r="G32" s="9">
        <f>+G31</f>
        <v>1.5</v>
      </c>
      <c r="H32" s="9">
        <v>72.400000000000006</v>
      </c>
      <c r="I32" s="27">
        <v>0.04</v>
      </c>
      <c r="J32" s="28">
        <f>0.75*400*I32/SQRT(3)</f>
        <v>6.9282032302755097</v>
      </c>
      <c r="K32" s="28">
        <f>+$M$2*H32*G32/J32</f>
        <v>0.44830671052305249</v>
      </c>
      <c r="L32" s="29">
        <v>25</v>
      </c>
      <c r="M32" s="9"/>
      <c r="N32" s="30">
        <f>+$M$2/L32*G32*H32*SQRT(3)</f>
        <v>0.21518722105106522</v>
      </c>
      <c r="O32" s="31">
        <f>+N32*100/400</f>
        <v>5.3796805262766305E-2</v>
      </c>
      <c r="P32" s="32">
        <f>+$M$2*H32/L32*2</f>
        <v>0.1656512</v>
      </c>
      <c r="Q32" s="30">
        <f>230/P32</f>
        <v>1388.4596066916508</v>
      </c>
    </row>
    <row r="33" spans="4:17" ht="24.95" customHeight="1" x14ac:dyDescent="0.25">
      <c r="D33" s="3" t="s">
        <v>49</v>
      </c>
      <c r="E33" s="22" t="s">
        <v>51</v>
      </c>
      <c r="F33" s="41">
        <v>0.21739130434782608</v>
      </c>
      <c r="G33" s="35"/>
      <c r="I33" s="17"/>
    </row>
    <row r="34" spans="4:17" ht="24.95" customHeight="1" x14ac:dyDescent="0.25">
      <c r="E34" s="3" t="s">
        <v>44</v>
      </c>
      <c r="F34" s="42">
        <v>0.43478260869565216</v>
      </c>
      <c r="I34" s="17"/>
    </row>
    <row r="35" spans="4:17" ht="24.95" customHeight="1" x14ac:dyDescent="0.25">
      <c r="E35" s="3" t="s">
        <v>52</v>
      </c>
      <c r="F35" s="42">
        <v>0.21739130434782608</v>
      </c>
      <c r="I35" s="17"/>
    </row>
    <row r="36" spans="4:17" ht="24.95" customHeight="1" x14ac:dyDescent="0.25">
      <c r="E36" s="3" t="s">
        <v>34</v>
      </c>
      <c r="F36" s="42">
        <v>0.43478260869565216</v>
      </c>
      <c r="I36" s="17"/>
    </row>
    <row r="37" spans="4:17" ht="24.95" customHeight="1" x14ac:dyDescent="0.25">
      <c r="E37" s="3" t="s">
        <v>54</v>
      </c>
      <c r="F37" s="42">
        <v>12.17</v>
      </c>
      <c r="I37" s="17"/>
    </row>
    <row r="38" spans="4:17" ht="24.95" customHeight="1" thickBot="1" x14ac:dyDescent="0.3">
      <c r="E38" s="6" t="s">
        <v>43</v>
      </c>
      <c r="F38" s="7">
        <v>1.5</v>
      </c>
      <c r="G38" s="40">
        <f>SUM(F33:F38)</f>
        <v>14.974347826086957</v>
      </c>
      <c r="I38" s="17"/>
    </row>
    <row r="39" spans="4:17" ht="24.95" customHeight="1" thickBot="1" x14ac:dyDescent="0.3">
      <c r="D39" s="8" t="s">
        <v>50</v>
      </c>
      <c r="E39" s="8"/>
      <c r="F39" s="9"/>
      <c r="G39" s="33">
        <f>+G38</f>
        <v>14.974347826086957</v>
      </c>
      <c r="H39" s="9">
        <v>276.3</v>
      </c>
      <c r="I39" s="27">
        <v>0.04</v>
      </c>
      <c r="J39" s="28">
        <f>0.75*400*I39/SQRT(3)</f>
        <v>6.9282032302755097</v>
      </c>
      <c r="K39" s="28">
        <f>+$M$2*H39*G39/J39</f>
        <v>17.079463169795364</v>
      </c>
      <c r="L39" s="29">
        <v>50</v>
      </c>
      <c r="M39" s="9"/>
      <c r="N39" s="30">
        <f>+$M$2/L39*G39*H39*SQRT(3)</f>
        <v>4.0990711607508876</v>
      </c>
      <c r="O39" s="31">
        <f>+N39*100/400</f>
        <v>1.0247677901877219</v>
      </c>
      <c r="P39" s="32">
        <f>+$M$2*H39/L39*2</f>
        <v>0.31608720000000001</v>
      </c>
      <c r="Q39" s="30">
        <f>230/P39</f>
        <v>727.64730745186773</v>
      </c>
    </row>
    <row r="40" spans="4:17" ht="24.95" customHeight="1" x14ac:dyDescent="0.25">
      <c r="D40" s="37" t="s">
        <v>53</v>
      </c>
      <c r="E40" s="38"/>
      <c r="F40" s="39"/>
      <c r="G40" s="43">
        <f>+G39+G17+G29</f>
        <v>32.744347826086958</v>
      </c>
      <c r="I40" s="17"/>
    </row>
    <row r="41" spans="4:17" ht="24.95" customHeight="1" thickBot="1" x14ac:dyDescent="0.3">
      <c r="E41" s="6"/>
      <c r="F41" s="7"/>
      <c r="G41" s="26"/>
      <c r="I41" s="17"/>
    </row>
    <row r="42" spans="4:17" ht="24.95" customHeight="1" thickBot="1" x14ac:dyDescent="0.3">
      <c r="D42" s="8" t="s">
        <v>2</v>
      </c>
      <c r="E42" s="8"/>
      <c r="F42" s="9"/>
      <c r="G42" s="33">
        <f>+G40+0.43</f>
        <v>33.174347826086958</v>
      </c>
      <c r="H42" s="9">
        <v>2</v>
      </c>
      <c r="I42" s="27">
        <v>0.04</v>
      </c>
      <c r="J42" s="28">
        <f>0.75*400*I42/SQRT(3)</f>
        <v>6.9282032302755097</v>
      </c>
      <c r="K42" s="28">
        <f>+$M$2*H42*G42/J42</f>
        <v>0.27389102666041659</v>
      </c>
      <c r="L42" s="29">
        <v>50</v>
      </c>
      <c r="M42" s="9"/>
      <c r="N42" s="30">
        <f>+$M$2/L42*G42*H42*SQRT(3)</f>
        <v>6.5733846398499995E-2</v>
      </c>
      <c r="O42" s="31">
        <f>+N42*100/400</f>
        <v>1.6433461599624999E-2</v>
      </c>
      <c r="P42" s="32">
        <f>+$M$2*H42/L42*2</f>
        <v>2.2880000000000001E-3</v>
      </c>
      <c r="Q42" s="30">
        <f>230/P42</f>
        <v>100524.47552447552</v>
      </c>
    </row>
    <row r="43" spans="4:17" ht="24.95" customHeight="1" x14ac:dyDescent="0.25"/>
    <row r="44" spans="4:17" ht="24.95" customHeight="1" x14ac:dyDescent="0.25"/>
    <row r="45" spans="4:17" ht="24.95" customHeight="1" x14ac:dyDescent="0.25"/>
    <row r="46" spans="4:17" ht="24.95" customHeight="1" x14ac:dyDescent="0.25"/>
    <row r="47" spans="4:17" ht="24.95" customHeight="1" x14ac:dyDescent="0.25"/>
  </sheetData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1F</vt:lpstr>
      <vt:lpstr>3F</vt:lpstr>
      <vt:lpstr>1. körzet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Béla Nagy</dc:creator>
  <cp:lastModifiedBy>Igó Zoltán</cp:lastModifiedBy>
  <dcterms:created xsi:type="dcterms:W3CDTF">2026-04-27T07:55:22Z</dcterms:created>
  <dcterms:modified xsi:type="dcterms:W3CDTF">2026-05-18T06:05:50Z</dcterms:modified>
</cp:coreProperties>
</file>